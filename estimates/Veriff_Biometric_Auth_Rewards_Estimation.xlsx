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How to use" sheetId="1" state="visible" r:id="rId1"/>
    <sheet name="1-Microservice Bio Auth" sheetId="2" state="visible" r:id="rId2"/>
    <sheet name="2-Brand Websites" sheetId="3" state="visible" r:id="rId3"/>
    <sheet name="3-Client Requirements" sheetId="4" state="visible" r:id="rId4"/>
    <sheet name="4-Phased Estimate Summary" sheetId="5" state="visible" r:id="rId5"/>
    <sheet name="5-Process Decision Flow" sheetId="6" state="visible" r:id="rId6"/>
    <sheet name="6-Assumptions &amp; Risks" sheetId="7" state="visible" r:id="rId7"/>
  </sheets>
  <definedNames>
    <definedName name="_xlnm.Print_Titles" localSheetId="0">'0-How to use'!$1:$7</definedName>
    <definedName name="_xlnm.Print_Titles" localSheetId="1">'1-Microservice Bio Auth'!$1:$7</definedName>
    <definedName name="_xlnm.Print_Titles" localSheetId="2">'2-Brand Websites'!$1:$7</definedName>
    <definedName name="_xlnm._FilterDatabase" localSheetId="3" hidden="1">'3-Client Requirements'!$A$5:$D$5</definedName>
    <definedName name="_xlnm.Print_Titles" localSheetId="3">'3-Client Requirements'!$1:$7</definedName>
    <definedName name="_xlnm.Print_Titles" localSheetId="4">'4-Phased Estimate Summary'!$1:$7</definedName>
    <definedName name="_xlnm._FilterDatabase" localSheetId="5" hidden="1">'5-Process Decision Flow'!$A$5:$G$5</definedName>
    <definedName name="_xlnm.Print_Titles" localSheetId="5">'5-Process Decision Flow'!$1:$7</definedName>
    <definedName name="_xlnm.Print_Titles" localSheetId="6">'6-Assumptions &amp; Risks'!$1:$7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6E3F0"/>
      <sz val="11"/>
    </font>
    <font>
      <name val="Calibri"/>
      <i val="1"/>
      <color rgb="004A5568"/>
      <sz val="9"/>
    </font>
    <font>
      <name val="Calibri"/>
      <b val="1"/>
      <color rgb="001B365D"/>
      <sz val="12"/>
    </font>
    <font>
      <name val="Calibri"/>
      <color rgb="001A1A1A"/>
      <sz val="10"/>
    </font>
    <font>
      <name val="Calibri"/>
      <b val="1"/>
      <color rgb="00FFFFFF"/>
      <sz val="11"/>
    </font>
    <font>
      <name val="Calibri"/>
      <b val="1"/>
      <color rgb="001A1A1A"/>
      <sz val="11"/>
    </font>
    <font>
      <name val="Calibri"/>
      <b val="1"/>
      <color rgb="001B365D"/>
      <sz val="11"/>
    </font>
    <font>
      <name val="Calibri"/>
      <i val="1"/>
      <color rgb="00FFFFFF"/>
      <sz val="9"/>
    </font>
    <font>
      <name val="Calibri"/>
      <color rgb="00FFFFFF"/>
      <sz val="9"/>
    </font>
    <font>
      <name val="Consolas"/>
      <color rgb="001A1A1A"/>
      <sz val="8"/>
    </font>
  </fonts>
  <fills count="1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8E7"/>
      </patternFill>
    </fill>
    <fill>
      <patternFill patternType="solid">
        <fgColor rgb="00F4F7FB"/>
      </patternFill>
    </fill>
    <fill>
      <patternFill patternType="solid">
        <fgColor rgb="00FCE4D6"/>
      </patternFill>
    </fill>
    <fill>
      <patternFill patternType="solid">
        <fgColor rgb="00E2D5F1"/>
      </patternFill>
    </fill>
    <fill>
      <patternFill patternType="solid">
        <fgColor rgb="00F4CCCC"/>
      </patternFill>
    </fill>
    <fill>
      <patternFill patternType="solid">
        <fgColor rgb="000F6C6C"/>
      </patternFill>
    </fill>
  </fills>
  <borders count="6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/>
      <right/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/>
      <diagonal/>
    </border>
    <border>
      <left/>
      <right/>
      <top style="thin">
        <color rgb="00C5CDD6"/>
      </top>
      <bottom style="thin">
        <color rgb="00C5CDD6"/>
      </bottom>
      <diagonal/>
    </border>
    <border>
      <left/>
      <right style="thin">
        <color rgb="00C5CDD6"/>
      </right>
      <top style="thin">
        <color rgb="00C5CDD6"/>
      </top>
      <bottom style="thin">
        <color rgb="00C5CDD6"/>
      </bottom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horizontal="left" vertical="top" wrapText="1"/>
    </xf>
    <xf numFmtId="0" fontId="4" fillId="6" borderId="0" pivotButton="0" quotePrefix="0" xfId="0"/>
    <xf numFmtId="0" fontId="0" fillId="6" borderId="0" pivotButton="0" quotePrefix="0" xfId="0"/>
    <xf numFmtId="0" fontId="6" fillId="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9" borderId="0" pivotButton="0" quotePrefix="0" xfId="0"/>
    <xf numFmtId="0" fontId="0" fillId="9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10" borderId="0" pivotButton="0" quotePrefix="0" xfId="0"/>
    <xf numFmtId="0" fontId="0" fillId="1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3" fillId="12" borderId="0" applyAlignment="1" pivotButton="0" quotePrefix="0" xfId="0">
      <alignment horizontal="left" vertical="center" wrapText="1" indent="1"/>
    </xf>
    <xf numFmtId="0" fontId="0" fillId="12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7" fillId="8" borderId="1" applyAlignment="1" pivotButton="0" quotePrefix="0" xfId="0">
      <alignment horizontal="left" vertical="top" wrapText="1"/>
    </xf>
    <xf numFmtId="164" fontId="5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164" fontId="5" fillId="1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5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0" fillId="9" borderId="1" pivotButton="0" quotePrefix="0" xfId="0"/>
    <xf numFmtId="164" fontId="5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0" fillId="10" borderId="1" pivotButton="0" quotePrefix="0" xfId="0"/>
    <xf numFmtId="164" fontId="5" fillId="1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0" fillId="14" borderId="1" pivotButton="0" quotePrefix="0" xfId="0"/>
    <xf numFmtId="164" fontId="5" fillId="1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0" fillId="2" borderId="1" pivotButton="0" quotePrefix="0" xfId="0"/>
    <xf numFmtId="164" fontId="6" fillId="2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7" fillId="6" borderId="1" pivotButton="0" quotePrefix="0" xfId="0"/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7" fillId="10" borderId="1" pivotButton="0" quotePrefix="0" xfId="0"/>
    <xf numFmtId="0" fontId="0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7" fillId="14" borderId="1" pivotButton="0" quotePrefix="0" xfId="0"/>
    <xf numFmtId="0" fontId="0" fillId="14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center" vertical="center"/>
    </xf>
    <xf numFmtId="0" fontId="7" fillId="9" borderId="1" pivotButton="0" quotePrefix="0" xfId="0"/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7" fillId="13" borderId="1" pivotButton="0" quotePrefix="0" xfId="0"/>
    <xf numFmtId="0" fontId="0" fillId="13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10" borderId="0" applyAlignment="1" pivotButton="0" quotePrefix="0" xfId="0">
      <alignment horizontal="left" vertical="center"/>
    </xf>
    <xf numFmtId="164" fontId="7" fillId="10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6" fillId="16" borderId="0" pivotButton="0" quotePrefix="0" xfId="0"/>
    <xf numFmtId="0" fontId="0" fillId="16" borderId="0" pivotButton="0" quotePrefix="0" xfId="0"/>
    <xf numFmtId="1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6" borderId="1" pivotButton="0" quotePrefix="0" xfId="0"/>
    <xf numFmtId="0" fontId="3" fillId="10" borderId="1" pivotButton="0" quotePrefix="0" xfId="0"/>
    <xf numFmtId="0" fontId="3" fillId="14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164" fontId="0" fillId="10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164" fontId="0" fillId="1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5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top" wrapText="1"/>
    </xf>
    <xf numFmtId="0" fontId="11" fillId="12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7" borderId="1" pivotButton="0" quotePrefix="0" xfId="0"/>
    <xf numFmtId="0" fontId="7" fillId="1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MVP Mid hours mix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'4-Phased Estimate Summary'!$A$30:$A$32</f>
            </numRef>
          </cat>
          <val>
            <numRef>
              <f>'4-Phased Estimate Summary'!$B$30:$B$32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28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zoomScale="10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2" customWidth="1" min="5" max="5"/>
    <col width="55" customWidth="1" min="6" max="6"/>
  </cols>
  <sheetData>
    <row r="1" ht="28" customHeight="1">
      <c r="A1" s="1" t="inlineStr">
        <is>
          <t>Veriff Biometric Authentication — Rewards Redemption</t>
        </is>
      </c>
      <c r="B1" s="2" t="n"/>
      <c r="C1" s="2" t="n"/>
      <c r="D1" s="2" t="n"/>
      <c r="E1" s="2" t="n"/>
      <c r="F1" s="2" t="n"/>
    </row>
    <row r="2" ht="36" customHeight="1">
      <c r="A2" s="3" t="inlineStr">
        <is>
          <t>Solution architecture estimation pack  |  Microservice used by multiple brand websites  |  Physical prizes + digital vouchers  |  Chat/estimate only — no deployment</t>
        </is>
      </c>
      <c r="B2" s="4" t="n"/>
      <c r="C2" s="4" t="n"/>
      <c r="D2" s="4" t="n"/>
      <c r="E2" s="4" t="n"/>
      <c r="F2" s="4" t="n"/>
    </row>
    <row r="3" ht="10" customHeight="1"/>
    <row r="4" ht="48" customHeight="1">
      <c r="A4" s="5" t="inlineStr">
        <is>
          <t>How to use: Tabs 1–2 are 3-point hour estimates (Min / Mid / Max) plus PERT expected. Tab 3 is client inputs that unblock the estimate. Tab 4 rolls up MVP vs later phases and lets you set brand count. Tab 5 is the recommended process/decision flow. Tab 6 lists assumptions and risks. Hours include engineering AND business operations. They exclude Veriff vendor fees.</t>
        </is>
      </c>
      <c r="B4" s="6" t="n"/>
      <c r="C4" s="6" t="n"/>
      <c r="D4" s="6" t="n"/>
      <c r="E4" s="6" t="n"/>
      <c r="F4" s="6" t="n"/>
    </row>
    <row r="6">
      <c r="A6" s="7" t="inlineStr">
        <is>
          <t>Recommended architecture (logical)</t>
        </is>
      </c>
      <c r="B6" s="8" t="n"/>
      <c r="C6" s="8" t="n"/>
      <c r="D6" s="8" t="n"/>
      <c r="E6" s="8" t="n"/>
      <c r="F6" s="8" t="n"/>
    </row>
    <row r="7" ht="78" customHeight="1">
      <c r="A7" s="9" t="inlineStr">
        <is>
          <t>Brand Website A / B / C  →  (m2m auth)  Bio-Auth Microservice  →  Veriff Enrollment integration  +  Veriff Authentication integration
Microservice owns: policy/thresholds, endUserId registry, session state, webhook (source of truth), atomic prize lock, hold/release to WMS &amp; voucher issuer.
Brand sites own: login-as-winner, consent UI, Veriff InContext/redirect using session URL only, pending UX, address form / voucher reveal AFTER Approved.
Fulfillment systems (3PL / voucher issuer) must NOT release on 'won'. They release only on microservice Fulfilled/Release event.</t>
        </is>
      </c>
    </row>
    <row r="9">
      <c r="A9" s="10" t="inlineStr">
        <is>
          <t>Recommended MVP and phases</t>
        </is>
      </c>
      <c r="B9" s="11" t="n"/>
      <c r="C9" s="11" t="n"/>
      <c r="D9" s="11" t="n"/>
      <c r="E9" s="11" t="n"/>
      <c r="F9" s="11" t="n"/>
    </row>
    <row r="10" ht="22" customHeight="1">
      <c r="A10" s="12" t="inlineStr">
        <is>
          <t>Phase</t>
        </is>
      </c>
      <c r="B10" s="12" t="inlineStr">
        <is>
          <t>What goes live</t>
        </is>
      </c>
      <c r="C10" s="12" t="inlineStr">
        <is>
          <t>Why this cut</t>
        </is>
      </c>
      <c r="D10" s="12" t="inlineStr">
        <is>
          <t>Bio required?</t>
        </is>
      </c>
      <c r="E10" s="12" t="inlineStr">
        <is>
          <t>Unenrolled users</t>
        </is>
      </c>
      <c r="F10" s="12" t="inlineStr">
        <is>
          <t>Prize types</t>
        </is>
      </c>
    </row>
    <row r="11" ht="88" customHeight="1">
      <c r="A11" s="13" t="inlineStr">
        <is>
          <t>P0 Discovery</t>
        </is>
      </c>
      <c r="B11" s="13" t="inlineStr">
        <is>
          <t>Architecture, Veriff dual-integration, DPIA/consent, signed policy table, identity model.</t>
        </is>
      </c>
      <c r="C11" s="13" t="inlineStr">
        <is>
          <t>Vendor + legal + policy are the critical path. Building UX first wastes rework.</t>
        </is>
      </c>
      <c r="D11" s="13" t="inlineStr">
        <is>
          <t>n/a</t>
        </is>
      </c>
      <c r="E11" s="13" t="inlineStr">
        <is>
          <t>Policy defined</t>
        </is>
      </c>
      <c r="F11" s="13" t="inlineStr">
        <is>
          <t>Taxonomy only</t>
        </is>
      </c>
    </row>
    <row r="12" ht="88" customHeight="1">
      <c r="A12" s="14" t="inlineStr">
        <is>
          <t>P1 MVP (recommend)</t>
        </is>
      </c>
      <c r="B12" s="14" t="inlineStr">
        <is>
          <t>Microservice + 1..N brand kit. Gate PHYSICAL prizes and HIGH-VALUE digital vouchers. Small vouchers unchanged. Enroll-at-claim. Warehouse default-hold. CS/fraud SOPs. Admin dual-control.</t>
        </is>
      </c>
      <c r="C12" s="14" t="inlineStr">
        <is>
          <t>Physical goods are irreversible and attractive to fraud. High-value digital codes leak via inbox/ATO. Small vouchers are high-volume / low-value — bio would dominate Veriff cost and hurt conversion.</t>
        </is>
      </c>
      <c r="D12" s="14" t="inlineStr">
        <is>
          <t>Physical = always. Digital &gt;= High threshold = yes. Digital small = no.</t>
        </is>
      </c>
      <c r="E12" s="14" t="inlineStr">
        <is>
          <t>First-class enroll-at-claim (consent → enrollment session). Same-sitting approved enrollment can release THAT prize. Exception SOP for no camera.</t>
        </is>
      </c>
      <c r="F12" s="14" t="inlineStr">
        <is>
          <t>Physical + high-value digital</t>
        </is>
      </c>
    </row>
    <row r="13" ht="88" customHeight="1">
      <c r="A13" s="13" t="inlineStr">
        <is>
          <t>P2 Expand</t>
        </is>
      </c>
      <c r="B13" s="13" t="inlineStr">
        <is>
          <t>Medium-value digital; pre-enroll at win notification; more brands; funnel dashboard; FaceBlock; load testing.</t>
        </is>
      </c>
      <c r="C13" s="13" t="inlineStr">
        <is>
          <t>Once pass-rate and CS load are known, extend coverage where fraud savings &gt; cost+drop-off.</t>
        </is>
      </c>
      <c r="D13" s="13" t="inlineStr">
        <is>
          <t>Add medium digital band via config (no website rewrite if P1 policy engine is done).</t>
        </is>
      </c>
      <c r="E13" s="13" t="inlineStr">
        <is>
          <t>Pre-enroll so they are not seeing bio for the first time at the last click.</t>
        </is>
      </c>
      <c r="F13" s="13" t="inlineStr">
        <is>
          <t>+ medium digital</t>
        </is>
      </c>
    </row>
    <row r="14" ht="88" customHeight="1">
      <c r="A14" s="15" t="inlineStr">
        <is>
          <t>P3 Harden</t>
        </is>
      </c>
      <c r="B14" s="15" t="inlineStr">
        <is>
          <t>Document+Selfie IDV for physical/top-tier; shipping name match; privacy DSR tooling; optional small-voucher bio only if data supports it (default: still skip).</t>
        </is>
      </c>
      <c r="C14" s="15" t="inlineStr">
        <is>
          <t>Selfie-only cannot bind legal identity. IDV is how you prove the enrollee is the intended winner, not an ATO.</t>
        </is>
      </c>
      <c r="D14" s="15" t="inlineStr">
        <is>
          <t>Physical/top-tier step-up to IDV. Small vouchers remain ungated unless fraud data says otherwise.</t>
        </is>
      </c>
      <c r="E14" s="15" t="inlineStr">
        <is>
          <t>IDV enrollment; name/address mismatch queue.</t>
        </is>
      </c>
      <c r="F14" s="15" t="inlineStr">
        <is>
          <t>Stronger physical</t>
        </is>
      </c>
    </row>
    <row r="16">
      <c r="A16" s="16" t="inlineStr">
        <is>
          <t>What 'only a legit winner' actually requires (controls stacked)</t>
        </is>
      </c>
      <c r="B16" s="17" t="n"/>
      <c r="C16" s="17" t="n"/>
      <c r="D16" s="17" t="n"/>
      <c r="E16" s="17" t="n"/>
      <c r="F16" s="17" t="n"/>
    </row>
    <row r="17" ht="18" customHeight="1">
      <c r="A17" s="18" t="inlineStr">
        <is>
          <t>1. Prize assigned to a registered account (not a bearer magic link).</t>
        </is>
      </c>
    </row>
    <row r="18" ht="18" customHeight="1">
      <c r="A18" s="18" t="inlineStr">
        <is>
          <t>2. Claim-time login (and step-up) as that account — stops casual link forwarding.</t>
        </is>
      </c>
    </row>
    <row r="19" ht="18" customHeight="1">
      <c r="A19" s="18" t="inlineStr">
        <is>
          <t>3. Enrollment binds a live face (liveness) to that account's endUserId — with IDV if you also need legal name.</t>
        </is>
      </c>
    </row>
    <row r="20" ht="18" customHeight="1">
      <c r="A20" s="18" t="inlineStr">
        <is>
          <t>4. Authentication on later claims matches the same face + same endUserId (Veriff matchedSessionEndUserId checked server-side).</t>
        </is>
      </c>
    </row>
    <row r="21" ht="18" customHeight="1">
      <c r="A21" s="18" t="inlineStr">
        <is>
          <t>5. Atomic lock so a prize can be fulfilled once.</t>
        </is>
      </c>
    </row>
    <row r="22" ht="18" customHeight="1">
      <c r="A22" s="18" t="inlineStr">
        <is>
          <t>6. Warehouse / voucher issuer default-deny until the microservice says release.</t>
        </is>
      </c>
    </row>
    <row r="23" ht="18" customHeight="1">
      <c r="A23" s="18" t="inlineStr">
        <is>
          <t>7. Ops freeze on mismatch/fraud; no CS-only override for physical/high-value.</t>
        </is>
      </c>
    </row>
    <row r="25">
      <c r="A25" s="19" t="inlineStr">
        <is>
          <t>Unenrolled users (explicit product behaviour, not an afterthought)</t>
        </is>
      </c>
      <c r="B25" s="20" t="n"/>
      <c r="C25" s="20" t="n"/>
      <c r="D25" s="20" t="n"/>
      <c r="E25" s="20" t="n"/>
      <c r="F25" s="20" t="n"/>
    </row>
    <row r="26" ht="90" customHeight="1">
      <c r="A26" s="9" t="inlineStr">
        <is>
          <t>Most winners will NOT have a Veriff biometric template on day one. The microservice must pre-check enrollment and branch:
• Small digital, bio not required → redeem as today.
• Gated prize, not enrolled, camera OK, consent given → Enrollment session (not Auth). On approved enrollment, release this prize.
• Gated prize, not enrolled, no camera / refused consent → Exception SOP or forfeit at SLA. Never a raw Veriff decline 122 as the UX.
• Later prize, already enrolled → Authentication session only.
Do not silently skip the gate; do not force Auth on an empty template.</t>
        </is>
      </c>
    </row>
    <row r="28">
      <c r="A28" s="21" t="inlineStr">
        <is>
          <t>Workbook tabs</t>
        </is>
      </c>
    </row>
    <row r="29">
      <c r="A29" s="22" t="inlineStr">
        <is>
          <t>Tab</t>
        </is>
      </c>
      <c r="B29" s="22" t="inlineStr">
        <is>
          <t>Contents</t>
        </is>
      </c>
      <c r="C29" s="2" t="n"/>
      <c r="D29" s="2" t="n"/>
      <c r="E29" s="2" t="n"/>
      <c r="F29" s="2" t="n"/>
    </row>
    <row r="30" ht="28" customHeight="1">
      <c r="A30" s="23" t="inlineStr">
        <is>
          <t>1-Microservice Bio Auth</t>
        </is>
      </c>
      <c r="B30" s="24" t="inlineStr">
        <is>
          <t>Work items for the shared Veriff microservice, policy engine, webhooks, locks, admin, CS/fraud/warehouse ops.</t>
        </is>
      </c>
      <c r="C30" s="25" t="n"/>
      <c r="D30" s="25" t="n"/>
      <c r="E30" s="25" t="n"/>
      <c r="F30" s="25" t="n"/>
    </row>
    <row r="31" ht="28" customHeight="1">
      <c r="A31" s="23" t="inlineStr">
        <is>
          <t>2-Brand Websites</t>
        </is>
      </c>
      <c r="B31" s="24" t="inlineStr">
        <is>
          <t>Work items for the shared website kit plus unit cost per additional brand. Includes UX for unenrolled users and gated voucher/physical flows.</t>
        </is>
      </c>
      <c r="C31" s="25" t="n"/>
      <c r="D31" s="25" t="n"/>
      <c r="E31" s="25" t="n"/>
      <c r="F31" s="25" t="n"/>
    </row>
    <row r="32" ht="28" customHeight="1">
      <c r="A32" s="23" t="inlineStr">
        <is>
          <t>3-Client Requirements</t>
        </is>
      </c>
      <c r="B32" s="24" t="inlineStr">
        <is>
          <t>What we need from the client/developer counterparts and why. Blocking vs optional, by phase.</t>
        </is>
      </c>
      <c r="C32" s="25" t="n"/>
      <c r="D32" s="25" t="n"/>
      <c r="E32" s="25" t="n"/>
      <c r="F32" s="25" t="n"/>
    </row>
    <row r="33" ht="28" customHeight="1">
      <c r="A33" s="23" t="inlineStr">
        <is>
          <t>4-Phased Estimate Summary</t>
        </is>
      </c>
      <c r="B33" s="24" t="inlineStr">
        <is>
          <t>Hour roll-ups, PERT expected, brand-count calculator, MVP vs full.</t>
        </is>
      </c>
      <c r="C33" s="25" t="n"/>
      <c r="D33" s="25" t="n"/>
      <c r="E33" s="25" t="n"/>
      <c r="F33" s="25" t="n"/>
    </row>
    <row r="34" ht="28" customHeight="1">
      <c r="A34" s="23" t="inlineStr">
        <is>
          <t>5-Process Decision Flow</t>
        </is>
      </c>
      <c r="B34" s="24" t="inlineStr">
        <is>
          <t>End-to-end decision table used for estimation workshops and later user stories.</t>
        </is>
      </c>
      <c r="C34" s="25" t="n"/>
      <c r="D34" s="25" t="n"/>
      <c r="E34" s="25" t="n"/>
      <c r="F34" s="25" t="n"/>
    </row>
    <row r="35" ht="28" customHeight="1">
      <c r="A35" s="23" t="inlineStr">
        <is>
          <t>6-Assumptions &amp; Risks</t>
        </is>
      </c>
      <c r="B35" s="24" t="inlineStr">
        <is>
          <t>Scope cuts and the failure modes that would still let a non-winner get the prize.</t>
        </is>
      </c>
      <c r="C35" s="25" t="n"/>
      <c r="D35" s="25" t="n"/>
      <c r="E35" s="25" t="n"/>
      <c r="F35" s="25" t="n"/>
    </row>
    <row r="36" ht="36" customHeight="1">
      <c r="A36" s="26" t="inlineStr">
        <is>
          <t>Estimates are for planning / solutioning. Re-baseline after P0 (vendor access + signed threshold table). Not a commercial statement of work.</t>
        </is>
      </c>
      <c r="B36" s="27" t="n"/>
      <c r="C36" s="27" t="n"/>
      <c r="D36" s="27" t="n"/>
      <c r="E36" s="27" t="n"/>
      <c r="F36" s="27" t="n"/>
    </row>
  </sheetData>
  <mergeCells count="25">
    <mergeCell ref="A16:F16"/>
    <mergeCell ref="B31:F31"/>
    <mergeCell ref="A18:F18"/>
    <mergeCell ref="A26:F26"/>
    <mergeCell ref="A21:F21"/>
    <mergeCell ref="A2:F2"/>
    <mergeCell ref="A23:F23"/>
    <mergeCell ref="A22:F22"/>
    <mergeCell ref="A17:F17"/>
    <mergeCell ref="A4:F4"/>
    <mergeCell ref="A20:F20"/>
    <mergeCell ref="B29:F29"/>
    <mergeCell ref="A28:F28"/>
    <mergeCell ref="A19:F19"/>
    <mergeCell ref="B34:F34"/>
    <mergeCell ref="A9:F9"/>
    <mergeCell ref="B30:F30"/>
    <mergeCell ref="A36:F36"/>
    <mergeCell ref="B33:F33"/>
    <mergeCell ref="A1:F1"/>
    <mergeCell ref="A6:F6"/>
    <mergeCell ref="B32:F32"/>
    <mergeCell ref="A7:F7"/>
    <mergeCell ref="A25:F25"/>
    <mergeCell ref="B35:F35"/>
  </mergeCells>
  <pageMargins left="0.4" right="0.4" top="0.5" bottom="0.5" header="0.5" footer="0.5"/>
  <pageSetup orientation="landscape" paperSize="9" fitToHeight="0" fitToWidth="1"/>
  <headerFooter>
    <oddHeader>&amp;LVeriff Biometric Auth — Rewards Redemption Estimation</oddHeader>
    <oddFooter>&amp;LConfidential | Solution architecture estimate | Not a statement of work&amp;RPage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showGridLines="0"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88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" t="inlineStr">
        <is>
          <t>Tab 1 — Microservice Veriff Biometric Authentication</t>
        </is>
      </c>
      <c r="B1" s="2" t="n"/>
      <c r="C1" s="2" t="n"/>
      <c r="D1" s="2" t="n"/>
      <c r="E1" s="2" t="n"/>
      <c r="F1" s="2" t="n"/>
    </row>
    <row r="2" ht="36" customHeight="1">
      <c r="A2" s="3" t="inlineStr">
        <is>
          <t>Shared service used by all brand websites. Includes engineering, Veriff integration, policy/lock, AND business operations (CS, fraud, warehouse, comms, training).</t>
        </is>
      </c>
      <c r="B2" s="4" t="n"/>
      <c r="C2" s="4" t="n"/>
      <c r="D2" s="4" t="n"/>
      <c r="E2" s="4" t="n"/>
      <c r="F2" s="4" t="n"/>
    </row>
    <row r="3" ht="48" customHeight="1">
      <c r="A3" s="5" t="inlineStr">
        <is>
          <t>Do not put Veriff API keys on websites. Enrollment integration and Authentication integration are separate Veriff products that must be linked. Unenrolled users must be pre-checked — never start Auth first.</t>
        </is>
      </c>
      <c r="B3" s="6" t="n"/>
      <c r="C3" s="6" t="n"/>
      <c r="D3" s="6" t="n"/>
      <c r="E3" s="6" t="n"/>
      <c r="F3" s="6" t="n"/>
    </row>
    <row r="4" ht="48" customHeight="1">
      <c r="A4" s="28" t="inlineStr">
        <is>
          <t>Min = best case (clear requirements, Veriff sandbox ready, one modern brand).  Mid = expected.  Max = vendor/legal delay, messy identity, extra brands or IDV pulled into MVP.  Expected (PERT) = (Min + 4×Mid + Max) / 6.  Hours are blended (dev + QA + BA + ops design).  Colour: grey P0, green P1 MVP, yellow P2, purple P3, blue ops, orange legal/privacy.</t>
        </is>
      </c>
      <c r="B4" s="29" t="n"/>
      <c r="C4" s="29" t="n"/>
      <c r="D4" s="29" t="n"/>
      <c r="E4" s="29" t="n"/>
      <c r="F4" s="29" t="n"/>
    </row>
    <row r="5" ht="8" customHeight="1"/>
    <row r="6" ht="24" customHeight="1">
      <c r="A6" s="30" t="inlineStr">
        <is>
          <t>Work items</t>
        </is>
      </c>
      <c r="B6" s="30" t="inlineStr">
        <is>
          <t>Description</t>
        </is>
      </c>
      <c r="C6" s="30" t="inlineStr">
        <is>
          <t>Min (hrs)</t>
        </is>
      </c>
      <c r="D6" s="30" t="inlineStr">
        <is>
          <t>Mid (hrs)</t>
        </is>
      </c>
      <c r="E6" s="30" t="inlineStr">
        <is>
          <t>Max (hrs)</t>
        </is>
      </c>
      <c r="F6" s="30" t="inlineStr">
        <is>
          <t>Expected PERT (hrs)</t>
        </is>
      </c>
    </row>
    <row r="7" ht="22" customHeight="1">
      <c r="A7" s="31" t="inlineStr">
        <is>
          <t>P0 — Discovery, vendor, legal &amp; policy (before build)</t>
        </is>
      </c>
      <c r="B7" s="32" t="n"/>
      <c r="C7" s="32" t="n"/>
      <c r="D7" s="32" t="n"/>
      <c r="E7" s="32" t="n"/>
      <c r="F7" s="32" t="n"/>
    </row>
    <row r="8" ht="84" customHeight="1">
      <c r="A8" s="33" t="inlineStr">
        <is>
          <t>[P0] Solution architecture, identity binding &amp; threat model</t>
        </is>
      </c>
      <c r="B8" s="15" t="inlineStr">
        <is>
          <t>Design the multi-brand architecture: Brand sites → Bio-Auth microservice → Veriff (Enrollment integration + Authentication integration). Bind winner_id ↔ logged-in account_id ↔ stable Veriff endUserId (UUID v4) or vendorData ↔ reward_id. Threat model: account takeover after win, prize-link forwarding, selfie spoof / presentation attack, unenrolled users getting Veriff decline 122, webhook spoofing, race conditions (double fulfill), warehouse shipping before decision, small-voucher cost vs fraud. Produce sequence diagrams, state machine, and a policy matrix (which prizes require bio). Deliverable: architecture decision record.</t>
        </is>
      </c>
      <c r="C8" s="34" t="n">
        <v>16</v>
      </c>
      <c r="D8" s="34" t="n">
        <v>24</v>
      </c>
      <c r="E8" s="34" t="n">
        <v>40</v>
      </c>
      <c r="F8" s="34">
        <f>ROUND((C8+4*D8+E8)/6,1)</f>
        <v/>
      </c>
    </row>
    <row r="9" ht="84" customHeight="1">
      <c r="A9" s="35" t="inlineStr">
        <is>
          <t>[P0] Veriff commercial onboarding &amp; dual-integration setup</t>
        </is>
      </c>
      <c r="B9" s="13" t="inlineStr">
        <is>
          <t>Contract sandbox + production. Veriff Solutions Engineer must create and connect: (1) Selfie enrollment integration (or Document+Selfie IDV used as enrollment source) and (2) Biometric Authentication integration. Obtain API keys, baseURLs, webhook signing secrets, Customer Portal access, and test-session forcing. Confirm session TTL (7-day expired/abandoned), decision codes, and FaceBlock availability. This is on the critical path — development cannot complete without it.</t>
        </is>
      </c>
      <c r="C9" s="34" t="n">
        <v>8</v>
      </c>
      <c r="D9" s="34" t="n">
        <v>16</v>
      </c>
      <c r="E9" s="34" t="n">
        <v>32</v>
      </c>
      <c r="F9" s="34">
        <f>ROUND((C9+4*D9+E9)/6,1)</f>
        <v/>
      </c>
    </row>
    <row r="10" ht="84" customHeight="1">
      <c r="A10" s="33" t="inlineStr">
        <is>
          <t>[P0] Privacy / legal: biometric DPIA, consent, retention, contest rules</t>
        </is>
      </c>
      <c r="B10" s="15" t="inlineStr">
        <is>
          <t>Biometric templates are special-category data in many markets (GDPR Art. 9, similar APAC/LATAM rules). Produce DPIA, purpose limitation (rewards redemption only), consent copy + versioning, retention vs fraud-hold, processor DPA with Veriff, and contest/T&amp;Cs updates stating biometric step-up for defined prizes. Align on lawful basis per market. Hours cover our privacy engineering + legal liaison, not client counsel of record.</t>
        </is>
      </c>
      <c r="C10" s="36" t="n">
        <v>16</v>
      </c>
      <c r="D10" s="36" t="n">
        <v>32</v>
      </c>
      <c r="E10" s="36" t="n">
        <v>56</v>
      </c>
      <c r="F10" s="36">
        <f>ROUND((C10+4*D10+E10)/6,1)</f>
        <v/>
      </c>
    </row>
    <row r="11" ht="84" customHeight="1">
      <c r="A11" s="35" t="inlineStr">
        <is>
          <t>[P0] Business policy workshop: prize taxonomy, thresholds, exceptions, SLA</t>
        </is>
      </c>
      <c r="B11" s="13" t="inlineStr">
        <is>
          <t>Workshop with brand, fraud, CS, warehouse, finance. Agree: (a) physical prizes always require bio in MVP; (b) digital voucher high-value threshold per brand/currency; (c) small vouchers stay on existing controls; (d) claim window; (e) retry limits; (f) no-camera / accessibility exceptions; (g) decline = do not fulfill, not 'try a friend'; (h) manual override dual-control rules. Output: signed policy table that the microservice will enforce so websites cannot locally bypass.</t>
        </is>
      </c>
      <c r="C11" s="34" t="n">
        <v>8</v>
      </c>
      <c r="D11" s="34" t="n">
        <v>16</v>
      </c>
      <c r="E11" s="34" t="n">
        <v>24</v>
      </c>
      <c r="F11" s="34">
        <f>ROUND((C11+4*D11+E11)/6,1)</f>
        <v/>
      </c>
    </row>
    <row r="12" ht="84" customHeight="1">
      <c r="A12" s="33" t="inlineStr">
        <is>
          <t>[P0] Cross-brand identity &amp; guest-winner model</t>
        </is>
      </c>
      <c r="B12" s="15" t="inlineStr">
        <is>
          <t>Decide how endUserId is minted and reused across brand websites. Guest checkout winners are the weak point: if a fraudster can enroll first, selfie-only bio only proves the same fraudster came back. Require registered, authenticated winner accounts for bio-gated prizes. Map existing user IDs that are not UUID v4 onto vendorData (immutable). Plan collision, brand-prefixed IDs vs global person ID, and what happens if the same person wins on two brands.</t>
        </is>
      </c>
      <c r="C12" s="34" t="n">
        <v>8</v>
      </c>
      <c r="D12" s="34" t="n">
        <v>16</v>
      </c>
      <c r="E12" s="34" t="n">
        <v>24</v>
      </c>
      <c r="F12" s="34">
        <f>ROUND((C12+4*D12+E12)/6,1)</f>
        <v/>
      </c>
    </row>
    <row r="13" ht="22" customHeight="1">
      <c r="A13" s="37" t="inlineStr">
        <is>
          <t>P1 MVP — Microservice engineering (physical + high-value digital gate)</t>
        </is>
      </c>
      <c r="B13" s="38" t="n"/>
      <c r="C13" s="38" t="n"/>
      <c r="D13" s="38" t="n"/>
      <c r="E13" s="38" t="n"/>
      <c r="F13" s="38" t="n"/>
    </row>
    <row r="14" ht="84" customHeight="1">
      <c r="A14" s="33" t="inlineStr">
        <is>
          <t>[P1] Service bootstrap, CI/CD, environments, multi-tenant brand config</t>
        </is>
      </c>
      <c r="B14" s="15" t="inlineStr">
        <is>
          <t>New service: repo, pipelines, lint/test, sandbox/staging/prod, infra (API gateway, secrets, logs). Brand registry: brandId, callback allowlist, threshold config, prize-type flags, Veriff integration IDs, languages, claim SLA. Websites must not hold Veriff API keys — only the microservice does.</t>
        </is>
      </c>
      <c r="C14" s="39" t="n">
        <v>16</v>
      </c>
      <c r="D14" s="39" t="n">
        <v>24</v>
      </c>
      <c r="E14" s="39" t="n">
        <v>40</v>
      </c>
      <c r="F14" s="39">
        <f>ROUND((C14+4*D14+E14)/6,1)</f>
        <v/>
      </c>
    </row>
    <row r="15" ht="84" customHeight="1">
      <c r="A15" s="35" t="inlineStr">
        <is>
          <t>[P1] Veriff credential isolation (enrollment keys ≠ authentication keys)</t>
        </is>
      </c>
      <c r="B15" s="13" t="inlineStr">
        <is>
          <t>Store and use separate API keys / baseURLs for enrollment vs authentication integrations. Rotate secrets, restrict by env, never expose to browsers. Include X-AUTH-CLIENT handling and webhook signature verification secrets per integration.</t>
        </is>
      </c>
      <c r="C15" s="39" t="n">
        <v>8</v>
      </c>
      <c r="D15" s="39" t="n">
        <v>12</v>
      </c>
      <c r="E15" s="39" t="n">
        <v>20</v>
      </c>
      <c r="F15" s="39">
        <f>ROUND((C15+4*D15+E15)/6,1)</f>
        <v/>
      </c>
    </row>
    <row r="16" ht="84" customHeight="1">
      <c r="A16" s="33" t="inlineStr">
        <is>
          <t>[P1] Enrollment session orchestration API</t>
        </is>
      </c>
      <c r="B16" s="15" t="inlineStr">
        <is>
          <t>POST create-enrollment: validate brand + authenticated user + reward still claimable + consent recorded. Call Veriff POST /v1/sessions on the enrollment integration with the same endUserId/vendorData and a brand callback URL. Persist sessionId, sessionToken metadata, reward_id, purpose=enrollment. Return session URL to the website (InContext or redirect). Do not treat session creation as success.</t>
        </is>
      </c>
      <c r="C16" s="39" t="n">
        <v>16</v>
      </c>
      <c r="D16" s="39" t="n">
        <v>24</v>
      </c>
      <c r="E16" s="39" t="n">
        <v>40</v>
      </c>
      <c r="F16" s="39">
        <f>ROUND((C16+4*D16+E16)/6,1)</f>
        <v/>
      </c>
    </row>
    <row r="17" ht="84" customHeight="1">
      <c r="A17" s="35" t="inlineStr">
        <is>
          <t>[P1] Biometric authentication session orchestration API</t>
        </is>
      </c>
      <c r="B17" s="13" t="inlineStr">
        <is>
          <t>POST create-auth only if an approved enrollment exists for this endUserId. Use authentication integration keys. Pass identical endUserId/vendorData (mismatch → Veriff decline 121/128). Bind session to a specific reward_id and redemption_attempt_id so an approved selfie cannot be reused to claim a different prize. Return session URL. Enforce one active session per reward.</t>
        </is>
      </c>
      <c r="C17" s="39" t="n">
        <v>16</v>
      </c>
      <c r="D17" s="39" t="n">
        <v>24</v>
      </c>
      <c r="E17" s="39" t="n">
        <v>40</v>
      </c>
      <c r="F17" s="39">
        <f>ROUND((C17+4*D17+E17)/6,1)</f>
        <v/>
      </c>
    </row>
    <row r="18" ht="84" customHeight="1">
      <c r="A18" s="33" t="inlineStr">
        <is>
          <t>[P1] Enrollment pre-check (avoid Veriff 'no reference' declines)</t>
        </is>
      </c>
      <c r="B18" s="15" t="inlineStr">
        <is>
          <t>GET enrollment-status before creating an auth session. If not enrolled, return action=ENROLL instead of starting auth. Prevents wasted Veriff cost and user-facing decline 122 (no reference found). Cache approved enrollment sessionId for matchedSession checks later.</t>
        </is>
      </c>
      <c r="C18" s="39" t="n">
        <v>8</v>
      </c>
      <c r="D18" s="39" t="n">
        <v>12</v>
      </c>
      <c r="E18" s="39" t="n">
        <v>20</v>
      </c>
      <c r="F18" s="39">
        <f>ROUND((C18+4*D18+E18)/6,1)</f>
        <v/>
      </c>
    </row>
    <row r="19" ht="84" customHeight="1">
      <c r="A19" s="35" t="inlineStr">
        <is>
          <t>[P1] Decision webhook receiver + signature verification + idempotency</t>
        </is>
      </c>
      <c r="B19" s="13" t="inlineStr">
        <is>
          <t>Public endpoint for Veriff decision webhooks (enrollment and auth). Verify authenticity (HMAC/signature headers per Veriff webhooks guide), reject unsigned payloads, handle retries, and upsert by sessionId/attemptId. Map verification.status (approved/declined/expired/abandoned/resubmission_requested/review) and biometricAuthentication.matchedSessionEndUserId. Webhook is the source of truth — never fulfill from the frontend callback.</t>
        </is>
      </c>
      <c r="C19" s="39" t="n">
        <v>16</v>
      </c>
      <c r="D19" s="39" t="n">
        <v>24</v>
      </c>
      <c r="E19" s="39" t="n">
        <v>40</v>
      </c>
      <c r="F19" s="39">
        <f>ROUND((C19+4*D19+E19)/6,1)</f>
        <v/>
      </c>
    </row>
    <row r="20" ht="84" customHeight="1">
      <c r="A20" s="33" t="inlineStr">
        <is>
          <t>[P1] Decision polling fallback</t>
        </is>
      </c>
      <c r="B20" s="15" t="inlineStr">
        <is>
          <t>If webhook is delayed/missed, poll GET /v1/sessions/{id}/decision with backoff until terminal status or TTL. Used by status API when the website shows 'pending'. Include alerting when webhook and poll disagree.</t>
        </is>
      </c>
      <c r="C20" s="39" t="n">
        <v>8</v>
      </c>
      <c r="D20" s="39" t="n">
        <v>12</v>
      </c>
      <c r="E20" s="39" t="n">
        <v>20</v>
      </c>
      <c r="F20" s="39">
        <f>ROUND((C20+4*D20+E20)/6,1)</f>
        <v/>
      </c>
    </row>
    <row r="21" ht="84" customHeight="1">
      <c r="A21" s="35" t="inlineStr">
        <is>
          <t>[P1] Session &amp; redemption state machine</t>
        </is>
      </c>
      <c r="B21" s="13" t="inlineStr">
        <is>
          <t>States: NotRequired | ConsentNeeded | NeedsEnrollment | EnrollmentPending | Enrolled | AuthPending | Approved | Declined | FrozenFraud | ExceptionReview | ExpiredClaim | Fulfilled. Transitions are server-side only. Approved enrollment in the same sitting may release the current prize (do not force a second paid auth session immediately). Later redemptions require auth. Expire open holds at claim SLA.</t>
        </is>
      </c>
      <c r="C21" s="39" t="n">
        <v>12</v>
      </c>
      <c r="D21" s="39" t="n">
        <v>20</v>
      </c>
      <c r="E21" s="39" t="n">
        <v>32</v>
      </c>
      <c r="F21" s="39">
        <f>ROUND((C21+4*D21+E21)/6,1)</f>
        <v/>
      </c>
    </row>
    <row r="22" ht="84" customHeight="1">
      <c r="A22" s="33" t="inlineStr">
        <is>
          <t>[P1] Veriff reason-code → business outcome mapping</t>
        </is>
      </c>
      <c r="B22" s="15" t="inlineStr">
        <is>
          <t>Map codes: 9001 approved → fulfill gate; 9102 declined; 105/106 suspicious/known fraud → freeze + fraud queue; 120 face mismatch → freeze suspected third-party redeem; 121/128 ID mismatch → engineering incident, do not fulfill; 122 no reference → route to enrollment; expired/abandoned 9104 → retry until SLA; quality/resubmission → guided retry. User-facing copy is generic; ops sees raw codes.</t>
        </is>
      </c>
      <c r="C22" s="39" t="n">
        <v>8</v>
      </c>
      <c r="D22" s="39" t="n">
        <v>16</v>
      </c>
      <c r="E22" s="39" t="n">
        <v>24</v>
      </c>
      <c r="F22" s="39">
        <f>ROUND((C22+4*D22+E22)/6,1)</f>
        <v/>
      </c>
    </row>
    <row r="23" ht="84" customHeight="1">
      <c r="A23" s="35" t="inlineStr">
        <is>
          <t>[P1] Policy / threshold engine (central, not per website)</t>
        </is>
      </c>
      <c r="B23" s="13" t="inlineStr">
        <is>
          <t>Input: brandId, prizeType (physical|digital_voucher), faceValue, currency, market. Output: BioRequired=true/false and method=Auth|Enroll|IDV. MVP defaults: physical = required; digital &gt;= HighThreshold = required; digital &lt; HighThreshold = not required. Config-driven so Phase 2 can lower thresholds without website releases. Websites cannot override to skip bio.</t>
        </is>
      </c>
      <c r="C23" s="39" t="n">
        <v>16</v>
      </c>
      <c r="D23" s="39" t="n">
        <v>24</v>
      </c>
      <c r="E23" s="39" t="n">
        <v>40</v>
      </c>
      <c r="F23" s="39">
        <f>ROUND((C23+4*D23+E23)/6,1)</f>
        <v/>
      </c>
    </row>
    <row r="24" ht="84" customHeight="1">
      <c r="A24" s="33" t="inlineStr">
        <is>
          <t>[P1] Atomic redemption lock (only one legit fulfill)</t>
        </is>
      </c>
      <c r="B24" s="15" t="inlineStr">
        <is>
          <t>When bio is approved, lock reward_id as claimed by user_id in a single transaction/idempotent consumer. Prevent double-click, double-webhook, and two devices. If already fulfilled, ignore later approved sessions. This is the core 'only a legit winner gets the prize' control together with identity match.</t>
        </is>
      </c>
      <c r="C24" s="39" t="n">
        <v>16</v>
      </c>
      <c r="D24" s="39" t="n">
        <v>28</v>
      </c>
      <c r="E24" s="39" t="n">
        <v>48</v>
      </c>
      <c r="F24" s="39">
        <f>ROUND((C24+4*D24+E24)/6,1)</f>
        <v/>
      </c>
    </row>
    <row r="25" ht="84" customHeight="1">
      <c r="A25" s="35" t="inlineStr">
        <is>
          <t>[P1] Physical prize hold / release integration</t>
        </is>
      </c>
      <c r="B25" s="13" t="inlineStr">
        <is>
          <t>Publish events or API to WMS/ops: HOLD on win/claim start; RELEASE_TO_SHIP only after Approved + address captured + still the winner. Include winner name, shipping address, reward SKU, bio sessionId for audit. Default-deny: warehouse must not ship from 'won' status alone.</t>
        </is>
      </c>
      <c r="C25" s="39" t="n">
        <v>12</v>
      </c>
      <c r="D25" s="39" t="n">
        <v>20</v>
      </c>
      <c r="E25" s="39" t="n">
        <v>32</v>
      </c>
      <c r="F25" s="39">
        <f>ROUND((C25+4*D25+E25)/6,1)</f>
        <v/>
      </c>
    </row>
    <row r="26" ht="84" customHeight="1">
      <c r="A26" s="33" t="inlineStr">
        <is>
          <t>[P1] High-value digital voucher issuance gate</t>
        </is>
      </c>
      <c r="B26" s="15" t="inlineStr">
        <is>
          <t>Do not generate, display, or email voucher codes until Approved. Call voucher issuer once, store token against user_id, mark irre-issuable. If bio later reversed/fraud-flagged, void unused codes where issuer supports it.</t>
        </is>
      </c>
      <c r="C26" s="39" t="n">
        <v>12</v>
      </c>
      <c r="D26" s="39" t="n">
        <v>20</v>
      </c>
      <c r="E26" s="39" t="n">
        <v>32</v>
      </c>
      <c r="F26" s="39">
        <f>ROUND((C26+4*D26+E26)/6,1)</f>
        <v/>
      </c>
    </row>
    <row r="27" ht="84" customHeight="1">
      <c r="A27" s="35" t="inlineStr">
        <is>
          <t>[P1] Retry, velocity and abuse limits</t>
        </is>
      </c>
      <c r="B27" s="13" t="inlineStr">
        <is>
          <t>Cap enrollment/auth attempts per user/reward/device/IP. Cooldown after decline 120/105/106. Block concurrent sessions. Alert fraud ops on burst patterns. Complements Veriff liveness — does not replace it.</t>
        </is>
      </c>
      <c r="C27" s="39" t="n">
        <v>8</v>
      </c>
      <c r="D27" s="39" t="n">
        <v>16</v>
      </c>
      <c r="E27" s="39" t="n">
        <v>28</v>
      </c>
      <c r="F27" s="39">
        <f>ROUND((C27+4*D27+E27)/6,1)</f>
        <v/>
      </c>
    </row>
    <row r="28" ht="84" customHeight="1">
      <c r="A28" s="33" t="inlineStr">
        <is>
          <t>[P1] Brand-to-service authentication &amp; authorization</t>
        </is>
      </c>
      <c r="B28" s="15" t="inlineStr">
        <is>
          <t>m2m auth (JWT/mTLS/API keys) from each brand website/BFF. Authorize brandId can only act on its users/rewards (prevent IDOR across brands). Rate-limit per brand.</t>
        </is>
      </c>
      <c r="C28" s="39" t="n">
        <v>8</v>
      </c>
      <c r="D28" s="39" t="n">
        <v>16</v>
      </c>
      <c r="E28" s="39" t="n">
        <v>24</v>
      </c>
      <c r="F28" s="39">
        <f>ROUND((C28+4*D28+E28)/6,1)</f>
        <v/>
      </c>
    </row>
    <row r="29" ht="84" customHeight="1">
      <c r="A29" s="35" t="inlineStr">
        <is>
          <t>[P1] Status query API for pending UX</t>
        </is>
      </c>
      <c r="B29" s="13" t="inlineStr">
        <is>
          <t>Websites poll or subscribe: current state, whether to show Veriff, retry allowed, generic user message. Must not leak fraud reason codes or other users' data. Frontend callback from Veriff is only a hint to refresh status.</t>
        </is>
      </c>
      <c r="C29" s="39" t="n">
        <v>8</v>
      </c>
      <c r="D29" s="39" t="n">
        <v>12</v>
      </c>
      <c r="E29" s="39" t="n">
        <v>20</v>
      </c>
      <c r="F29" s="39">
        <f>ROUND((C29+4*D29+E29)/6,1)</f>
        <v/>
      </c>
    </row>
    <row r="30" ht="84" customHeight="1">
      <c r="A30" s="33" t="inlineStr">
        <is>
          <t>[P1] Consent ledger</t>
        </is>
      </c>
      <c r="B30" s="15" t="inlineStr">
        <is>
          <t>Store consent timestamp, policy version, brand, locale, user_id, IP before opening camera/Veriff. Without consent, APIs refuse session creation. Support withdrawal (stops future auth; does not auto-unfulfill already shipped goods).</t>
        </is>
      </c>
      <c r="C30" s="39" t="n">
        <v>8</v>
      </c>
      <c r="D30" s="39" t="n">
        <v>12</v>
      </c>
      <c r="E30" s="39" t="n">
        <v>20</v>
      </c>
      <c r="F30" s="39">
        <f>ROUND((C30+4*D30+E30)/6,1)</f>
        <v/>
      </c>
    </row>
    <row r="31" ht="84" customHeight="1">
      <c r="A31" s="35" t="inlineStr">
        <is>
          <t>[P1] Immutable audit trail</t>
        </is>
      </c>
      <c r="B31" s="13" t="inlineStr">
        <is>
          <t>Who claimed, which prize, enrollment session, auth session, matchedSessionEndUserId, decision, actor for any override, fulfillment event. Retention aligned with legal. Required for disputes ('my cousin claimed my prize').</t>
        </is>
      </c>
      <c r="C31" s="39" t="n">
        <v>12</v>
      </c>
      <c r="D31" s="39" t="n">
        <v>20</v>
      </c>
      <c r="E31" s="39" t="n">
        <v>32</v>
      </c>
      <c r="F31" s="39">
        <f>ROUND((C31+4*D31+E31)/6,1)</f>
        <v/>
      </c>
    </row>
    <row r="32" ht="84" customHeight="1">
      <c r="A32" s="33" t="inlineStr">
        <is>
          <t>[P1] Observability, cost and funnel metrics</t>
        </is>
      </c>
      <c r="B32" s="15" t="inlineStr">
        <is>
          <t>Metrics: sessions created, webhook lag, pass rate, decline reasons, drop-off pending→complete, cost/session (Veriff), time-to-fulfill, exception volume. Dashboards + alerts (webhook failures, spike in 120 mismatch, Veriff 5xx).</t>
        </is>
      </c>
      <c r="C32" s="39" t="n">
        <v>12</v>
      </c>
      <c r="D32" s="39" t="n">
        <v>20</v>
      </c>
      <c r="E32" s="39" t="n">
        <v>32</v>
      </c>
      <c r="F32" s="39">
        <f>ROUND((C32+4*D32+E32)/6,1)</f>
        <v/>
      </c>
    </row>
    <row r="33" ht="84" customHeight="1">
      <c r="A33" s="35" t="inlineStr">
        <is>
          <t>[P1] Veriff outage / degraded-mode policy in code</t>
        </is>
      </c>
      <c r="B33" s="13" t="inlineStr">
        <is>
          <t>If Veriff is down: do not silently skip bio for gated prizes. Queue pending, extend claim SLA, show user message, page on-call. Optional client-approved emergency override with dual control. Document RTO.</t>
        </is>
      </c>
      <c r="C33" s="39" t="n">
        <v>8</v>
      </c>
      <c r="D33" s="39" t="n">
        <v>16</v>
      </c>
      <c r="E33" s="39" t="n">
        <v>28</v>
      </c>
      <c r="F33" s="39">
        <f>ROUND((C33+4*D33+E33)/6,1)</f>
        <v/>
      </c>
    </row>
    <row r="34" ht="84" customHeight="1">
      <c r="A34" s="33" t="inlineStr">
        <is>
          <t>[P1] Sandbox harness, webhook simulator, contract tests</t>
        </is>
      </c>
      <c r="B34" s="15" t="inlineStr">
        <is>
          <t>Automated tests for all decision codes, idempotent webhooks, lock, policy engine, unenrolled branch. Simulator for local/dev without hitting Veriff. Contract tests against Veriff sandbox.</t>
        </is>
      </c>
      <c r="C34" s="39" t="n">
        <v>12</v>
      </c>
      <c r="D34" s="39" t="n">
        <v>20</v>
      </c>
      <c r="E34" s="39" t="n">
        <v>32</v>
      </c>
      <c r="F34" s="39">
        <f>ROUND((C34+4*D34+E34)/6,1)</f>
        <v/>
      </c>
    </row>
    <row r="35" ht="84" customHeight="1">
      <c r="A35" s="35" t="inlineStr">
        <is>
          <t>[P1] Application security review</t>
        </is>
      </c>
      <c r="B35" s="13" t="inlineStr">
        <is>
          <t>Threat review of webhook auth, session IDOR, open redirects on callback, PII in logs, secret scanning, prize-status TOCTOU. Fix findings before production.</t>
        </is>
      </c>
      <c r="C35" s="39" t="n">
        <v>8</v>
      </c>
      <c r="D35" s="39" t="n">
        <v>16</v>
      </c>
      <c r="E35" s="39" t="n">
        <v>24</v>
      </c>
      <c r="F35" s="39">
        <f>ROUND((C35+4*D35+E35)/6,1)</f>
        <v/>
      </c>
    </row>
    <row r="36" ht="84" customHeight="1">
      <c r="A36" s="33" t="inlineStr">
        <is>
          <t>[P1] Service runbooks &amp; API documentation for brand teams</t>
        </is>
      </c>
      <c r="B36" s="15" t="inlineStr">
        <is>
          <t>OpenAPI, sequence diagrams, error catalog, how to integrate, how to read states. On-call runbook: missed webhook, stuck pending, Veriff portal lookup.</t>
        </is>
      </c>
      <c r="C36" s="39" t="n">
        <v>8</v>
      </c>
      <c r="D36" s="39" t="n">
        <v>16</v>
      </c>
      <c r="E36" s="39" t="n">
        <v>24</v>
      </c>
      <c r="F36" s="39">
        <f>ROUND((C36+4*D36+E36)/6,1)</f>
        <v/>
      </c>
    </row>
    <row r="37" ht="22" customHeight="1">
      <c r="A37" s="40" t="inlineStr">
        <is>
          <t>P1 MVP — Business operations, CS, fraud, warehouse (non-dev)</t>
        </is>
      </c>
      <c r="B37" s="41" t="n"/>
      <c r="C37" s="41" t="n"/>
      <c r="D37" s="41" t="n"/>
      <c r="E37" s="41" t="n"/>
      <c r="F37" s="41" t="n"/>
    </row>
    <row r="38" ht="84" customHeight="1">
      <c r="A38" s="33" t="inlineStr">
        <is>
          <t>[P1] Ops / admin console (search, hold, dual-control override)</t>
        </is>
      </c>
      <c r="B38" s="15" t="inlineStr">
        <is>
          <t>Internal UI: find winner/reward/session, see Veriff decision, freeze prize, release after bio, and dual-control manual exception (two approvers). Every override is audited with reason. Without this, CS will ask engineering to SQL-update production.</t>
        </is>
      </c>
      <c r="C38" s="42" t="n">
        <v>24</v>
      </c>
      <c r="D38" s="42" t="n">
        <v>40</v>
      </c>
      <c r="E38" s="42" t="n">
        <v>64</v>
      </c>
      <c r="F38" s="42">
        <f>ROUND((C38+4*D38+E38)/6,1)</f>
        <v/>
      </c>
    </row>
    <row r="39" ht="84" customHeight="1">
      <c r="A39" s="35" t="inlineStr">
        <is>
          <t>[P1] CS playbooks &amp; macros (unenrolled, decline, camera, expiry)</t>
        </is>
      </c>
      <c r="B39" s="13" t="inlineStr">
        <is>
          <t>Scripts for: 'I don't want to use my face', 'camera not working', 'it said it failed', 'I am the winner but my partner tried', 'I never received the email'. Clear rule: CS cannot read out voucher codes or force-ship physical goods. Escalation to fraud vs engineering.</t>
        </is>
      </c>
      <c r="C39" s="42" t="n">
        <v>8</v>
      </c>
      <c r="D39" s="42" t="n">
        <v>16</v>
      </c>
      <c r="E39" s="42" t="n">
        <v>24</v>
      </c>
      <c r="F39" s="42">
        <f>ROUND((C39+4*D39+E39)/6,1)</f>
        <v/>
      </c>
    </row>
    <row r="40" ht="84" customHeight="1">
      <c r="A40" s="33" t="inlineStr">
        <is>
          <t>[P1] Fraud operations queue &amp; investigation SOP</t>
        </is>
      </c>
      <c r="B40" s="15" t="inlineStr">
        <is>
          <t>Case types: face mismatch after win, known-fraud decline, multiple accounts, office/farm velocity, warehouse address farms. Evidence pack: account history, session media reference via Veriff portal, device, shipping data. Outcome: fulfill / forfeit / law-enforcement referral. Staffing model for peak campaigns.</t>
        </is>
      </c>
      <c r="C40" s="42" t="n">
        <v>8</v>
      </c>
      <c r="D40" s="42" t="n">
        <v>16</v>
      </c>
      <c r="E40" s="42" t="n">
        <v>28</v>
      </c>
      <c r="F40" s="42">
        <f>ROUND((C40+4*D40+E40)/6,1)</f>
        <v/>
      </c>
    </row>
    <row r="41" ht="84" customHeight="1">
      <c r="A41" s="35" t="inlineStr">
        <is>
          <t>[P1] Exception path SOP (no camera, disability, coverage gap)</t>
        </is>
      </c>
      <c r="B41" s="13" t="inlineStr">
        <is>
          <t>Reasonable-adjustment process: alternate IDV (manual document upload to ops), prize substitution to a non-gated digital voucher, or forfeit with explanation. Never a silent skip of bio for physical/high-value without recorded approval. SLA for exception handling inside the claim window.</t>
        </is>
      </c>
      <c r="C41" s="42" t="n">
        <v>8</v>
      </c>
      <c r="D41" s="42" t="n">
        <v>16</v>
      </c>
      <c r="E41" s="42" t="n">
        <v>24</v>
      </c>
      <c r="F41" s="42">
        <f>ROUND((C41+4*D41+E41)/6,1)</f>
        <v/>
      </c>
    </row>
    <row r="42" ht="84" customHeight="1">
      <c r="A42" s="33" t="inlineStr">
        <is>
          <t>[P1] Warehouse / 3PL SOP: default hold until bio_approved</t>
        </is>
      </c>
      <c r="B42" s="15" t="inlineStr">
        <is>
          <t>Process mapping with fulfillment: pick-status blocked; packing slip includes verification ID; no 'VIP skip'. Training for 3PL. Test a dry-run hold→release→ship and a hold→forfeit→return-to-stock.</t>
        </is>
      </c>
      <c r="C42" s="42" t="n">
        <v>8</v>
      </c>
      <c r="D42" s="42" t="n">
        <v>12</v>
      </c>
      <c r="E42" s="42" t="n">
        <v>20</v>
      </c>
      <c r="F42" s="42">
        <f>ROUND((C42+4*D42+E42)/6,1)</f>
        <v/>
      </c>
    </row>
    <row r="43" ht="84" customHeight="1">
      <c r="A43" s="35" t="inlineStr">
        <is>
          <t>[P1] Winner communications (email/SMS/app): bio required</t>
        </is>
      </c>
      <c r="B43" s="13" t="inlineStr">
        <is>
          <t>Templates: you won; physical/high-value requires a one-time face check; privacy summary; claim deadline; what if you are not enrolled; do not share the claim link. Legal review of copy. Avoid sending the voucher in the win email for gated prizes.</t>
        </is>
      </c>
      <c r="C43" s="42" t="n">
        <v>8</v>
      </c>
      <c r="D43" s="42" t="n">
        <v>16</v>
      </c>
      <c r="E43" s="42" t="n">
        <v>24</v>
      </c>
      <c r="F43" s="42">
        <f>ROUND((C43+4*D43+E43)/6,1)</f>
        <v/>
      </c>
    </row>
    <row r="44" ht="84" customHeight="1">
      <c r="A44" s="33" t="inlineStr">
        <is>
          <t>[P1] Training: CS, fraud, warehouse, brand ops</t>
        </is>
      </c>
      <c r="B44" s="15" t="inlineStr">
        <is>
          <t>Live walkthrough of happy path, decline, unenrolled, and override. Quick-reference one-pagers. Recorded session for campaign surge staff.</t>
        </is>
      </c>
      <c r="C44" s="42" t="n">
        <v>8</v>
      </c>
      <c r="D44" s="42" t="n">
        <v>12</v>
      </c>
      <c r="E44" s="42" t="n">
        <v>20</v>
      </c>
      <c r="F44" s="42">
        <f>ROUND((C44+4*D44+E44)/6,1)</f>
        <v/>
      </c>
    </row>
    <row r="45" ht="84" customHeight="1">
      <c r="A45" s="35" t="inlineStr">
        <is>
          <t>[P1] UAT with Veriff sandbox + business UAT</t>
        </is>
      </c>
      <c r="B45" s="13" t="inlineStr">
        <is>
          <t>Scripted UAT: enrolled auth success, first-time enrollment, small voucher skip, physical hold, decline mismatch, expired session retry, webhook delay, double submit, wrong account. Include warehouse and CS observers. Exit criteria signed by brand owner.</t>
        </is>
      </c>
      <c r="C45" s="42" t="n">
        <v>16</v>
      </c>
      <c r="D45" s="42" t="n">
        <v>24</v>
      </c>
      <c r="E45" s="42" t="n">
        <v>40</v>
      </c>
      <c r="F45" s="42">
        <f>ROUND((C45+4*D45+E45)/6,1)</f>
        <v/>
      </c>
    </row>
    <row r="46" ht="84" customHeight="1">
      <c r="A46" s="33" t="inlineStr">
        <is>
          <t>[P1] Production cutover, campaign hypercare</t>
        </is>
      </c>
      <c r="B46" s="15" t="inlineStr">
        <is>
          <t>Feature-flag on for physical + high-value only. On-call, Veriff portal watch, daily pass-rate standup for first campaigns. Rollback = keep holds, do not auto-fulfill.</t>
        </is>
      </c>
      <c r="C46" s="42" t="n">
        <v>8</v>
      </c>
      <c r="D46" s="42" t="n">
        <v>16</v>
      </c>
      <c r="E46" s="42" t="n">
        <v>24</v>
      </c>
      <c r="F46" s="42">
        <f>ROUND((C46+4*D46+E46)/6,1)</f>
        <v/>
      </c>
    </row>
    <row r="47" ht="84" customHeight="1">
      <c r="A47" s="35" t="inlineStr">
        <is>
          <t>[P1] Veriff usage, billing reconciliation &amp; threshold tuning review</t>
        </is>
      </c>
      <c r="B47" s="13" t="inlineStr">
        <is>
          <t>Finance process: per-session cost vs prize value; kill-switch if small-voucher bio is ever enabled accidentally; monthly review of threshold with fraud loss data.</t>
        </is>
      </c>
      <c r="C47" s="42" t="n">
        <v>4</v>
      </c>
      <c r="D47" s="42" t="n">
        <v>8</v>
      </c>
      <c r="E47" s="42" t="n">
        <v>16</v>
      </c>
      <c r="F47" s="42">
        <f>ROUND((C47+4*D47+E47)/6,1)</f>
        <v/>
      </c>
    </row>
    <row r="48" ht="22" customHeight="1">
      <c r="A48" s="43" t="inlineStr">
        <is>
          <t>P2 — Expand to medium-value digital, pre-enroll, more brands, fraud tooling</t>
        </is>
      </c>
      <c r="B48" s="44" t="n"/>
      <c r="C48" s="44" t="n"/>
      <c r="D48" s="44" t="n"/>
      <c r="E48" s="44" t="n"/>
      <c r="F48" s="44" t="n"/>
    </row>
    <row r="49" ht="84" customHeight="1">
      <c r="A49" s="35" t="inlineStr">
        <is>
          <t>[P2] Pre-enrollment at win-notification (before redeem)</t>
        </is>
      </c>
      <c r="B49" s="13" t="inlineStr">
        <is>
          <t>Start enrollment when the user is notified they won, not only at the last redeem click. Improves conversion for physical/high-value and reduces claim-SLA crunches. New APIs/events from campaign engine → microservice. Still no fulfill until policy gate is satisfied.</t>
        </is>
      </c>
      <c r="C49" s="45" t="n">
        <v>16</v>
      </c>
      <c r="D49" s="45" t="n">
        <v>24</v>
      </c>
      <c r="E49" s="45" t="n">
        <v>40</v>
      </c>
      <c r="F49" s="45">
        <f>ROUND((C49+4*D49+E49)/6,1)</f>
        <v/>
      </c>
    </row>
    <row r="50" ht="84" customHeight="1">
      <c r="A50" s="33" t="inlineStr">
        <is>
          <t>[P2] Medium-value digital voucher threshold rollout</t>
        </is>
      </c>
      <c r="B50" s="15" t="inlineStr">
        <is>
          <t>Config + monitoring to extend bio to the medium band (e.g. between Low and High). Includes fraud vs conversion A/B readout and CS volume forecast. Engineering is small if policy engine was built in P1; ops + comms dominate.</t>
        </is>
      </c>
      <c r="C50" s="45" t="n">
        <v>8</v>
      </c>
      <c r="D50" s="45" t="n">
        <v>16</v>
      </c>
      <c r="E50" s="45" t="n">
        <v>24</v>
      </c>
      <c r="F50" s="45">
        <f>ROUND((C50+4*D50+E50)/6,1)</f>
        <v/>
      </c>
    </row>
    <row r="51" ht="84" customHeight="1">
      <c r="A51" s="35" t="inlineStr">
        <is>
          <t>[P2] Funnel analytics dashboard for brands</t>
        </is>
      </c>
      <c r="B51" s="13" t="inlineStr">
        <is>
          <t>Won → notified → consented → enrolled → authenticated → fulfilled, with drop-off and decline mix. Per brand/campaign. Used to decide whether to push bio into small vouchers later.</t>
        </is>
      </c>
      <c r="C51" s="45" t="n">
        <v>16</v>
      </c>
      <c r="D51" s="45" t="n">
        <v>24</v>
      </c>
      <c r="E51" s="45" t="n">
        <v>40</v>
      </c>
      <c r="F51" s="45">
        <f>ROUND((C51+4*D51+E51)/6,1)</f>
        <v/>
      </c>
    </row>
    <row r="52" ht="84" customHeight="1">
      <c r="A52" s="33" t="inlineStr">
        <is>
          <t>[P2] FaceBlock / repeat-fraud feedback loop</t>
        </is>
      </c>
      <c r="B52" s="15" t="inlineStr">
        <is>
          <t>On confirmed fraud, add faces to Veriff FaceBlock (if contracted) and internal blocklist of user/device/address. Process + API + ops training. Reduces repeat physical-prize theft.</t>
        </is>
      </c>
      <c r="C52" s="45" t="n">
        <v>8</v>
      </c>
      <c r="D52" s="45" t="n">
        <v>16</v>
      </c>
      <c r="E52" s="45" t="n">
        <v>28</v>
      </c>
      <c r="F52" s="45">
        <f>ROUND((C52+4*D52+E52)/6,1)</f>
        <v/>
      </c>
    </row>
    <row r="53" ht="84" customHeight="1">
      <c r="A53" s="35" t="inlineStr">
        <is>
          <t>[P2] Cross-brand / multi-account duplicate person process</t>
        </is>
      </c>
      <c r="B53" s="13" t="inlineStr">
        <is>
          <t>Investigate same biometric or IDV identity winning across brands/accounts (promo abuse). Policy: allow (same person, multiple brands) vs forfeit. May require Veriff SE and extra product rules. Higher estimate if legal identity from IDV is available.</t>
        </is>
      </c>
      <c r="C53" s="45" t="n">
        <v>16</v>
      </c>
      <c r="D53" s="45" t="n">
        <v>28</v>
      </c>
      <c r="E53" s="45" t="n">
        <v>48</v>
      </c>
      <c r="F53" s="45">
        <f>ROUND((C53+4*D53+E53)/6,1)</f>
        <v/>
      </c>
    </row>
    <row r="54" ht="84" customHeight="1">
      <c r="A54" s="33" t="inlineStr">
        <is>
          <t>[P2] Localisation of reason mapping and ops templates</t>
        </is>
      </c>
      <c r="B54" s="15" t="inlineStr">
        <is>
          <t>Additional markets/languages for user messages, CS macros, consent, and claim emails. Confirm Veriff flow language parameter per brand.</t>
        </is>
      </c>
      <c r="C54" s="45" t="n">
        <v>8</v>
      </c>
      <c r="D54" s="45" t="n">
        <v>12</v>
      </c>
      <c r="E54" s="45" t="n">
        <v>20</v>
      </c>
      <c r="F54" s="45">
        <f>ROUND((C54+4*D54+E54)/6,1)</f>
        <v/>
      </c>
    </row>
    <row r="55" ht="84" customHeight="1">
      <c r="A55" s="35" t="inlineStr">
        <is>
          <t>[P2] Load, webhook backpressure and peak-campaign testing</t>
        </is>
      </c>
      <c r="B55" s="13" t="inlineStr">
        <is>
          <t>Load test session creation + webhook ingest for campaign spikes (many high-value winners at once). Queue depth, duplicate webhooks, Veriff rate limits.</t>
        </is>
      </c>
      <c r="C55" s="45" t="n">
        <v>8</v>
      </c>
      <c r="D55" s="45" t="n">
        <v>16</v>
      </c>
      <c r="E55" s="45" t="n">
        <v>24</v>
      </c>
      <c r="F55" s="45">
        <f>ROUND((C55+4*D55+E55)/6,1)</f>
        <v/>
      </c>
    </row>
    <row r="56" ht="22" customHeight="1">
      <c r="A56" s="46" t="inlineStr">
        <is>
          <t>P3 — Hardening: IDV for top tier, name/address match, privacy at scale</t>
        </is>
      </c>
      <c r="B56" s="47" t="n"/>
      <c r="C56" s="47" t="n"/>
      <c r="D56" s="47" t="n"/>
      <c r="E56" s="47" t="n"/>
      <c r="F56" s="47" t="n"/>
    </row>
    <row r="57" ht="84" customHeight="1">
      <c r="A57" s="35" t="inlineStr">
        <is>
          <t>[P3] Document + selfie IDV as enrollment for physical / top-tier</t>
        </is>
      </c>
      <c r="B57" s="13" t="inlineStr">
        <is>
          <t>Strongest 'legit winner' control: government ID + live selfie at enrollment, then biometric auth on later redemptions. Extra Veriff product, UX, webhook fields (name, DOB), and data-retention design. Recommended for physical prizes if selfie-only MVP shows ATO/third-party claims.</t>
        </is>
      </c>
      <c r="C57" s="48" t="n">
        <v>24</v>
      </c>
      <c r="D57" s="48" t="n">
        <v>40</v>
      </c>
      <c r="E57" s="48" t="n">
        <v>64</v>
      </c>
      <c r="F57" s="48">
        <f>ROUND((C57+4*D57+E57)/6,1)</f>
        <v/>
      </c>
    </row>
    <row r="58" ht="84" customHeight="1">
      <c r="A58" s="33" t="inlineStr">
        <is>
          <t>[P3] Shipping-name vs IDV-name match for physical</t>
        </is>
      </c>
      <c r="B58" s="15" t="inlineStr">
        <is>
          <t>Compare Veriff extracted name to shipping recipient; fuzzy match; ops queue on mismatch. Reduces 'winner authenticates, ships to mule'. Includes false-positive handling (married names, character sets).</t>
        </is>
      </c>
      <c r="C58" s="48" t="n">
        <v>12</v>
      </c>
      <c r="D58" s="48" t="n">
        <v>20</v>
      </c>
      <c r="E58" s="48" t="n">
        <v>32</v>
      </c>
      <c r="F58" s="48">
        <f>ROUND((C58+4*D58+E58)/6,1)</f>
        <v/>
      </c>
    </row>
    <row r="59" ht="84" customHeight="1">
      <c r="A59" s="35" t="inlineStr">
        <is>
          <t>[P3] Optional bio on small digital vouchers (fraud-triggered)</t>
        </is>
      </c>
      <c r="B59" s="13" t="inlineStr">
        <is>
          <t>Only enable if Phase 2 data shows material loss. Includes conversion-impact review, cost model (Veriff fee vs voucher value — often negative ROI), and feature flag. Default recommendation: keep small vouchers out of bio.</t>
        </is>
      </c>
      <c r="C59" s="48" t="n">
        <v>8</v>
      </c>
      <c r="D59" s="48" t="n">
        <v>16</v>
      </c>
      <c r="E59" s="48" t="n">
        <v>24</v>
      </c>
      <c r="F59" s="48">
        <f>ROUND((C59+4*D59+E59)/6,1)</f>
        <v/>
      </c>
    </row>
    <row r="60" ht="84" customHeight="1">
      <c r="A60" s="33" t="inlineStr">
        <is>
          <t>[P3] Data-subject request handling (access / erasure vs fraud hold)</t>
        </is>
      </c>
      <c r="B60" s="15" t="inlineStr">
        <is>
          <t>Process + tooling to export or delete biometric-linked records while retaining fraud evidence where legally required. Coordinate Veriff retention.</t>
        </is>
      </c>
      <c r="C60" s="48" t="n">
        <v>8</v>
      </c>
      <c r="D60" s="48" t="n">
        <v>16</v>
      </c>
      <c r="E60" s="48" t="n">
        <v>24</v>
      </c>
      <c r="F60" s="48">
        <f>ROUND((C60+4*D60+E60)/6,1)</f>
        <v/>
      </c>
    </row>
    <row r="61" ht="84" customHeight="1">
      <c r="A61" s="35" t="inlineStr">
        <is>
          <t>[P3] DR / multi-region webhook availability</t>
        </is>
      </c>
      <c r="B61" s="13" t="inlineStr">
        <is>
          <t>Ensure webhook endpoint is highly available during campaigns; replay procedure; RPO/RTO documented. Optional second region or queue buffer.</t>
        </is>
      </c>
      <c r="C61" s="48" t="n">
        <v>8</v>
      </c>
      <c r="D61" s="48" t="n">
        <v>16</v>
      </c>
      <c r="E61" s="48" t="n">
        <v>32</v>
      </c>
      <c r="F61" s="48">
        <f>ROUND((C61+4*D61+E61)/6,1)</f>
        <v/>
      </c>
    </row>
    <row r="62" ht="24" customHeight="1">
      <c r="A62" s="49" t="inlineStr">
        <is>
          <t>TOTAL (all phases on this tab)</t>
        </is>
      </c>
      <c r="B62" s="50" t="n"/>
      <c r="C62" s="51">
        <f>SUM(C8:C61)</f>
        <v/>
      </c>
      <c r="D62" s="51">
        <f>SUM(D8:D61)</f>
        <v/>
      </c>
      <c r="E62" s="51">
        <f>SUM(E8:E61)</f>
        <v/>
      </c>
      <c r="F62" s="51">
        <f>SUM(F8:F61)</f>
        <v/>
      </c>
    </row>
    <row r="64">
      <c r="A64" s="21" t="inlineStr">
        <is>
          <t>Phase subtotals (from item tags)</t>
        </is>
      </c>
    </row>
    <row r="65" ht="24" customHeight="1">
      <c r="A65" s="30" t="inlineStr">
        <is>
          <t>Phase</t>
        </is>
      </c>
      <c r="B65" s="30" t="inlineStr">
        <is>
          <t>Work item count</t>
        </is>
      </c>
      <c r="C65" s="30" t="inlineStr">
        <is>
          <t>Min (hrs)</t>
        </is>
      </c>
      <c r="D65" s="30" t="inlineStr">
        <is>
          <t>Mid (hrs)</t>
        </is>
      </c>
      <c r="E65" s="30" t="inlineStr">
        <is>
          <t>Max (hrs)</t>
        </is>
      </c>
      <c r="F65" s="30" t="inlineStr">
        <is>
          <t>Expected PERT (hrs)</t>
        </is>
      </c>
    </row>
    <row r="66">
      <c r="A66" s="52" t="inlineStr">
        <is>
          <t>P0 Discovery</t>
        </is>
      </c>
      <c r="B66" s="53" t="n">
        <v>5</v>
      </c>
      <c r="C66" s="54" t="n">
        <v>56</v>
      </c>
      <c r="D66" s="54" t="n">
        <v>104</v>
      </c>
      <c r="E66" s="54" t="n">
        <v>176</v>
      </c>
      <c r="F66" s="54">
        <f>ROUND((C66+4*D66+E66)/6,1)</f>
        <v/>
      </c>
    </row>
    <row r="67">
      <c r="A67" s="55" t="inlineStr">
        <is>
          <t>P1 MVP</t>
        </is>
      </c>
      <c r="B67" s="56" t="n">
        <v>33</v>
      </c>
      <c r="C67" s="57" t="n">
        <v>356</v>
      </c>
      <c r="D67" s="57" t="n">
        <v>600</v>
      </c>
      <c r="E67" s="57" t="n">
        <v>976</v>
      </c>
      <c r="F67" s="57">
        <f>ROUND((C67+4*D67+E67)/6,1)</f>
        <v/>
      </c>
    </row>
    <row r="68">
      <c r="A68" s="58" t="inlineStr">
        <is>
          <t>P2 Expand</t>
        </is>
      </c>
      <c r="B68" s="59" t="n">
        <v>7</v>
      </c>
      <c r="C68" s="60" t="n">
        <v>80</v>
      </c>
      <c r="D68" s="60" t="n">
        <v>136</v>
      </c>
      <c r="E68" s="60" t="n">
        <v>224</v>
      </c>
      <c r="F68" s="60">
        <f>ROUND((C68+4*D68+E68)/6,1)</f>
        <v/>
      </c>
    </row>
    <row r="69">
      <c r="A69" s="61" t="inlineStr">
        <is>
          <t>P3 Harden</t>
        </is>
      </c>
      <c r="B69" s="62" t="n">
        <v>5</v>
      </c>
      <c r="C69" s="63" t="n">
        <v>60</v>
      </c>
      <c r="D69" s="63" t="n">
        <v>108</v>
      </c>
      <c r="E69" s="63" t="n">
        <v>176</v>
      </c>
      <c r="F69" s="63">
        <f>ROUND((C69+4*D69+E69)/6,1)</f>
        <v/>
      </c>
    </row>
    <row r="70">
      <c r="A70" s="64" t="inlineStr">
        <is>
          <t>Of which tagged Business Ops (subset of above)</t>
        </is>
      </c>
      <c r="B70" s="65" t="n">
        <v>10</v>
      </c>
      <c r="C70" s="66" t="n">
        <v>100</v>
      </c>
      <c r="D70" s="66" t="n">
        <v>176</v>
      </c>
      <c r="E70" s="66" t="n">
        <v>284</v>
      </c>
      <c r="F70" s="66">
        <f>ROUND((C70+4*D70+E70)/6,1)</f>
        <v/>
      </c>
    </row>
    <row r="71">
      <c r="A71" s="67" t="inlineStr">
        <is>
          <t>Of which tagged Legal/Privacy (subset of above)</t>
        </is>
      </c>
      <c r="B71" s="68" t="n">
        <v>1</v>
      </c>
      <c r="C71" s="69" t="n">
        <v>16</v>
      </c>
      <c r="D71" s="69" t="n">
        <v>32</v>
      </c>
      <c r="E71" s="69" t="n">
        <v>56</v>
      </c>
      <c r="F71" s="69">
        <f>ROUND((C71+4*D71+E71)/6,1)</f>
        <v/>
      </c>
    </row>
    <row r="73">
      <c r="A73" s="70" t="inlineStr">
        <is>
          <t>MVP recommendation on this tab = P0 + P1 rows. P2/P3 are sequenced after MVP evidence (pass-rate, CS load, fraud loss).</t>
        </is>
      </c>
    </row>
  </sheetData>
  <mergeCells count="11">
    <mergeCell ref="A73:F73"/>
    <mergeCell ref="A2:F2"/>
    <mergeCell ref="A62:B62"/>
    <mergeCell ref="A13:F13"/>
    <mergeCell ref="A1:F1"/>
    <mergeCell ref="A37:F37"/>
    <mergeCell ref="A56:F56"/>
    <mergeCell ref="A4:F4"/>
    <mergeCell ref="A48:F48"/>
    <mergeCell ref="A3:F3"/>
    <mergeCell ref="A7:F7"/>
  </mergeCells>
  <pageMargins left="0.4" right="0.4" top="0.5" bottom="0.5" header="0.5" footer="0.5"/>
  <pageSetup orientation="landscape" paperSize="9" fitToHeight="0" fitToWidth="1"/>
  <headerFooter>
    <oddHeader>&amp;LTab 1 — Microservice Veriff Biometric Authentication</oddHeader>
    <oddFooter>&amp;LConfidential | Solution architecture estimate | Not a statement of work&amp;RPage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88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" t="inlineStr">
        <is>
          <t>Tab 2 — Brand websites</t>
        </is>
      </c>
      <c r="B1" s="2" t="n"/>
      <c r="C1" s="2" t="n"/>
      <c r="D1" s="2" t="n"/>
      <c r="E1" s="2" t="n"/>
      <c r="F1" s="2" t="n"/>
    </row>
    <row r="2" ht="36" customHeight="1">
      <c r="A2" s="3" t="inlineStr">
        <is>
          <t>Shared integration kit + first brand UX, then a unit cost per additional brand. Covers unenrolled UX, physical vs high-value digital, and the rule: never fulfill on the Veriff redirect callback.</t>
        </is>
      </c>
      <c r="B2" s="4" t="n"/>
      <c r="C2" s="4" t="n"/>
      <c r="D2" s="4" t="n"/>
      <c r="E2" s="4" t="n"/>
      <c r="F2" s="4" t="n"/>
    </row>
    <row r="3" ht="48" customHeight="1">
      <c r="A3" s="5" t="inlineStr">
        <is>
          <t>Small-voucher pages must keep working WITHOUT bio (regression). Physical address and high-value voucher codes appear only AFTER microservice Approved. Multiply 'Per additional brand' rows by (N − 1) — the summary tab does this.</t>
        </is>
      </c>
      <c r="B3" s="6" t="n"/>
      <c r="C3" s="6" t="n"/>
      <c r="D3" s="6" t="n"/>
      <c r="E3" s="6" t="n"/>
      <c r="F3" s="6" t="n"/>
    </row>
    <row r="4" ht="48" customHeight="1">
      <c r="A4" s="28" t="inlineStr">
        <is>
          <t>Min = best case (clear requirements, Veriff sandbox ready, one modern brand).  Mid = expected.  Max = vendor/legal delay, messy identity, extra brands or IDV pulled into MVP.  Expected (PERT) = (Min + 4×Mid + Max) / 6.  Hours are blended (dev + QA + BA + ops design).  Colour: grey P0, green P1 MVP, yellow P2, purple P3, blue ops, orange legal/privacy.</t>
        </is>
      </c>
      <c r="B4" s="29" t="n"/>
      <c r="C4" s="29" t="n"/>
      <c r="D4" s="29" t="n"/>
      <c r="E4" s="29" t="n"/>
      <c r="F4" s="29" t="n"/>
    </row>
    <row r="5" ht="8" customHeight="1"/>
    <row r="6" ht="24" customHeight="1">
      <c r="A6" s="30" t="inlineStr">
        <is>
          <t>Work items</t>
        </is>
      </c>
      <c r="B6" s="30" t="inlineStr">
        <is>
          <t>Description</t>
        </is>
      </c>
      <c r="C6" s="30" t="inlineStr">
        <is>
          <t>Min (hrs)</t>
        </is>
      </c>
      <c r="D6" s="30" t="inlineStr">
        <is>
          <t>Mid (hrs)</t>
        </is>
      </c>
      <c r="E6" s="30" t="inlineStr">
        <is>
          <t>Max (hrs)</t>
        </is>
      </c>
      <c r="F6" s="30" t="inlineStr">
        <is>
          <t>Expected PERT (hrs)</t>
        </is>
      </c>
    </row>
    <row r="7" ht="22" customHeight="1">
      <c r="A7" s="31" t="inlineStr">
        <is>
          <t>P0 — Brand-side discovery</t>
        </is>
      </c>
      <c r="B7" s="32" t="n"/>
      <c r="C7" s="32" t="n"/>
      <c r="D7" s="32" t="n"/>
      <c r="E7" s="32" t="n"/>
      <c r="F7" s="32" t="n"/>
    </row>
    <row r="8" ht="84" customHeight="1">
      <c r="A8" s="33" t="inlineStr">
        <is>
          <t>[P0] Per-brand journey mapping (win → claim → fulfill)</t>
        </is>
      </c>
      <c r="B8" s="15" t="inlineStr">
        <is>
          <t>Inventory each website's current redemption: login, magic links, guest winners, voucher reveal, address form, CMS, feature flags. Identify where a fraudster can claim without being the winner. Output: integration points and pages in scope for MVP (physical + high-value digital only).</t>
        </is>
      </c>
      <c r="C8" s="34" t="n">
        <v>8</v>
      </c>
      <c r="D8" s="34" t="n">
        <v>16</v>
      </c>
      <c r="E8" s="34" t="n">
        <v>24</v>
      </c>
      <c r="F8" s="34">
        <f>ROUND((C8+4*D8+E8)/6,1)</f>
        <v/>
      </c>
    </row>
    <row r="9" ht="84" customHeight="1">
      <c r="A9" s="35" t="inlineStr">
        <is>
          <t>[P0] Content, legal pages and contest-rules updates (brand marketing/legal)</t>
        </is>
      </c>
      <c r="B9" s="13" t="inlineStr">
        <is>
          <t>Update T&amp;Cs, prize pages, FAQs: biometric may be required; who is eligible; claim deadline; camera requirement; privacy notice link. Not engineering-heavy but blocks go-live.</t>
        </is>
      </c>
      <c r="C9" s="36" t="n">
        <v>8</v>
      </c>
      <c r="D9" s="36" t="n">
        <v>12</v>
      </c>
      <c r="E9" s="36" t="n">
        <v>20</v>
      </c>
      <c r="F9" s="36">
        <f>ROUND((C9+4*D9+E9)/6,1)</f>
        <v/>
      </c>
    </row>
    <row r="10" ht="22" customHeight="1">
      <c r="A10" s="37" t="inlineStr">
        <is>
          <t>P1 MVP — Shared integration kit (build once, used by all brand sites)</t>
        </is>
      </c>
      <c r="B10" s="38" t="n"/>
      <c r="C10" s="38" t="n"/>
      <c r="D10" s="38" t="n"/>
      <c r="E10" s="38" t="n"/>
      <c r="F10" s="38" t="n"/>
    </row>
    <row r="11" ht="84" customHeight="1">
      <c r="A11" s="35" t="inlineStr">
        <is>
          <t>[P1] Shared brand integration kit / BFF client</t>
        </is>
      </c>
      <c r="B11" s="13" t="inlineStr">
        <is>
          <t>Reusable client (JS SDK or BFF module) that talks only to the Bio-Auth microservice: getPolicy, getStatus, startEnrollment, startAuth, pollStatus. No Veriff API keys in the browser. Handles correlation IDs, retries, and pending UX. First brand consumes it; others import it.</t>
        </is>
      </c>
      <c r="C11" s="39" t="n">
        <v>24</v>
      </c>
      <c r="D11" s="39" t="n">
        <v>40</v>
      </c>
      <c r="E11" s="39" t="n">
        <v>64</v>
      </c>
      <c r="F11" s="39">
        <f>ROUND((C11+4*D11+E11)/6,1)</f>
        <v/>
      </c>
    </row>
    <row r="12" ht="84" customHeight="1">
      <c r="A12" s="33" t="inlineStr">
        <is>
          <t>[P1] Feature-flagged policy consumption (skip bio for small vouchers)</t>
        </is>
      </c>
      <c r="B12" s="15" t="inlineStr">
        <is>
          <t>Redeem button path calls policy engine. If BioRequired=false, keep today's flow. If true, enter bio wizard. Prevents wrapping every small voucher in Veriff (cost and conversion).</t>
        </is>
      </c>
      <c r="C12" s="39" t="n">
        <v>8</v>
      </c>
      <c r="D12" s="39" t="n">
        <v>16</v>
      </c>
      <c r="E12" s="39" t="n">
        <v>24</v>
      </c>
      <c r="F12" s="39">
        <f>ROUND((C12+4*D12+E12)/6,1)</f>
        <v/>
      </c>
    </row>
    <row r="13" ht="84" customHeight="1">
      <c r="A13" s="35" t="inlineStr">
        <is>
          <t>[P1] Winner session binding (stop link forwarding / ATO-lite)</t>
        </is>
      </c>
      <c r="B13" s="13" t="inlineStr">
        <is>
          <t>Claim pages require the winning account to be logged in. Bind claim token to user_id server-side. Reject 'I forwarded the email to a friend'. Short-lived links. Re-auth (password/OTP) before bio for high-value. This is as important as the selfie.</t>
        </is>
      </c>
      <c r="C13" s="39" t="n">
        <v>12</v>
      </c>
      <c r="D13" s="39" t="n">
        <v>20</v>
      </c>
      <c r="E13" s="39" t="n">
        <v>32</v>
      </c>
      <c r="F13" s="39">
        <f>ROUND((C13+4*D13+E13)/6,1)</f>
        <v/>
      </c>
    </row>
    <row r="14" ht="84" customHeight="1">
      <c r="A14" s="33" t="inlineStr">
        <is>
          <t>[P1] Enrollment UX (consent → camera → Veriff InContext/redirect → pending)</t>
        </is>
      </c>
      <c r="B14" s="15" t="inlineStr">
        <is>
          <t>Unenrolled users on a gated prize: explain why, collect consent, launch Veriff (InContext iframe preferred on web; redirect fallback). Never tell the user they are 'verified' on Veriff's return URL — show Pending until microservice status is Approved. Mobile-web camera guidance (Safari/Chrome).</t>
        </is>
      </c>
      <c r="C14" s="39" t="n">
        <v>16</v>
      </c>
      <c r="D14" s="39" t="n">
        <v>28</v>
      </c>
      <c r="E14" s="39" t="n">
        <v>48</v>
      </c>
      <c r="F14" s="39">
        <f>ROUND((C14+4*D14+E14)/6,1)</f>
        <v/>
      </c>
    </row>
    <row r="15" ht="84" customHeight="1">
      <c r="A15" s="35" t="inlineStr">
        <is>
          <t>[P1] Returning-user biometric authentication UX</t>
        </is>
      </c>
      <c r="B15" s="13" t="inlineStr">
        <is>
          <t>Enrolled users: shorter selfie-only Veriff flow. Copy differs from first-time enrollment. Same pending/status rules. Do not start auth if pre-check says unenrolled.</t>
        </is>
      </c>
      <c r="C15" s="39" t="n">
        <v>12</v>
      </c>
      <c r="D15" s="39" t="n">
        <v>20</v>
      </c>
      <c r="E15" s="39" t="n">
        <v>32</v>
      </c>
      <c r="F15" s="39">
        <f>ROUND((C15+4*D15+E15)/6,1)</f>
        <v/>
      </c>
    </row>
    <row r="16" ht="84" customHeight="1">
      <c r="A16" s="33" t="inlineStr">
        <is>
          <t>[P1] Unenrolled-user decision screens</t>
        </is>
      </c>
      <c r="B16" s="15" t="inlineStr">
        <is>
          <t>Dedicated screens: You must enroll to claim this physical/high-value prize; small voucher alternative if policy allows substitution; decline-consent consequences (prize held until SLA then forfeited). Accessibility of this branch is a common drop-off.</t>
        </is>
      </c>
      <c r="C16" s="39" t="n">
        <v>8</v>
      </c>
      <c r="D16" s="39" t="n">
        <v>16</v>
      </c>
      <c r="E16" s="39" t="n">
        <v>24</v>
      </c>
      <c r="F16" s="39">
        <f>ROUND((C16+4*D16+E16)/6,1)</f>
        <v/>
      </c>
    </row>
    <row r="17" ht="84" customHeight="1">
      <c r="A17" s="35" t="inlineStr">
        <is>
          <t>[P1] Pending / webhook-wait UX (do not trust Veriff callback)</t>
        </is>
      </c>
      <c r="B17" s="13" t="inlineStr">
        <is>
          <t>After camera, poll status with timeout and 'we're confirming it's you' state. Success only when microservice says Approved. Handle refresh, back button, and second tab.</t>
        </is>
      </c>
      <c r="C17" s="39" t="n">
        <v>8</v>
      </c>
      <c r="D17" s="39" t="n">
        <v>16</v>
      </c>
      <c r="E17" s="39" t="n">
        <v>24</v>
      </c>
      <c r="F17" s="39">
        <f>ROUND((C17+4*D17+E17)/6,1)</f>
        <v/>
      </c>
    </row>
    <row r="18" ht="84" customHeight="1">
      <c r="A18" s="33" t="inlineStr">
        <is>
          <t>[P1] Decline, retry, expired, abandoned UX</t>
        </is>
      </c>
      <c r="B18" s="15" t="inlineStr">
        <is>
          <t>Friendly, non-accusatory copy for quality failures (retry). Hard stop + CS path for mismatch/fraud without revealing fraud typology. Expired session → start new session, not reuse URL. Attempt counter visible where allowed.</t>
        </is>
      </c>
      <c r="C18" s="39" t="n">
        <v>8</v>
      </c>
      <c r="D18" s="39" t="n">
        <v>16</v>
      </c>
      <c r="E18" s="39" t="n">
        <v>28</v>
      </c>
      <c r="F18" s="39">
        <f>ROUND((C18+4*D18+E18)/6,1)</f>
        <v/>
      </c>
    </row>
    <row r="19" ht="84" customHeight="1">
      <c r="A19" s="35" t="inlineStr">
        <is>
          <t>[P1] Device / camera capability detection &amp; fallback CTA</t>
        </is>
      </c>
      <c r="B19" s="13" t="inlineStr">
        <is>
          <t>Detect missing camera, insecure context (non-HTTPS), in-app browsers that break getUserMedia. Prompt switch to supported browser or use exception/CS path. Critical on mobile web.</t>
        </is>
      </c>
      <c r="C19" s="39" t="n">
        <v>8</v>
      </c>
      <c r="D19" s="39" t="n">
        <v>12</v>
      </c>
      <c r="E19" s="39" t="n">
        <v>20</v>
      </c>
      <c r="F19" s="39">
        <f>ROUND((C19+4*D19+E19)/6,1)</f>
        <v/>
      </c>
    </row>
    <row r="20" ht="84" customHeight="1">
      <c r="A20" s="33" t="inlineStr">
        <is>
          <t>[P1] Physical prize claim UI (address AFTER successful bio)</t>
        </is>
      </c>
      <c r="B20" s="15" t="inlineStr">
        <is>
          <t>Do not collect shipping address before identity gate if that leaks to fraud ops load. After Approved: address form, restricted-country list, confirmation that recipient is the winner. Show 'we will ship only after verification' earlier in the journey.</t>
        </is>
      </c>
      <c r="C20" s="39" t="n">
        <v>12</v>
      </c>
      <c r="D20" s="39" t="n">
        <v>20</v>
      </c>
      <c r="E20" s="39" t="n">
        <v>32</v>
      </c>
      <c r="F20" s="39">
        <f>ROUND((C20+4*D20+E20)/6,1)</f>
        <v/>
      </c>
    </row>
    <row r="21" ht="84" customHeight="1">
      <c r="A21" s="35" t="inlineStr">
        <is>
          <t>[P1] High-value digital voucher reveal (code only after Approved)</t>
        </is>
      </c>
      <c r="B21" s="13" t="inlineStr">
        <is>
          <t>Remove voucher code from win page/email for gated amounts. Reveal once in authenticated page + optional email after Approved. Clipboard + screenshot warning. Prevent HTML cache of the code.</t>
        </is>
      </c>
      <c r="C21" s="39" t="n">
        <v>8</v>
      </c>
      <c r="D21" s="39" t="n">
        <v>16</v>
      </c>
      <c r="E21" s="39" t="n">
        <v>24</v>
      </c>
      <c r="F21" s="39">
        <f>ROUND((C21+4*D21+E21)/6,1)</f>
        <v/>
      </c>
    </row>
    <row r="22" ht="84" customHeight="1">
      <c r="A22" s="33" t="inlineStr">
        <is>
          <t>[P1] Consent, privacy notice and T&amp;Cs capture UI</t>
        </is>
      </c>
      <c r="B22" s="15" t="inlineStr">
        <is>
          <t>Versioned checkboxes, links to privacy notice, withdraw-consent link. Block Veriff launch without consent. Store on microservice via API.</t>
        </is>
      </c>
      <c r="C22" s="39" t="n">
        <v>8</v>
      </c>
      <c r="D22" s="39" t="n">
        <v>12</v>
      </c>
      <c r="E22" s="39" t="n">
        <v>20</v>
      </c>
      <c r="F22" s="39">
        <f>ROUND((C22+4*D22+E22)/6,1)</f>
        <v/>
      </c>
    </row>
    <row r="23" ht="84" customHeight="1">
      <c r="A23" s="35" t="inlineStr">
        <is>
          <t>[P1] Accessibility and inclusive-design pass</t>
        </is>
      </c>
      <c r="B23" s="13" t="inlineStr">
        <is>
          <t>WCAG for the new wizard, keyboard, screen reader, motion/camera alternatives pointing at exception path. Avoid trapping users in a camera modal.</t>
        </is>
      </c>
      <c r="C23" s="39" t="n">
        <v>8</v>
      </c>
      <c r="D23" s="39" t="n">
        <v>16</v>
      </c>
      <c r="E23" s="39" t="n">
        <v>24</v>
      </c>
      <c r="F23" s="39">
        <f>ROUND((C23+4*D23+E23)/6,1)</f>
        <v/>
      </c>
    </row>
    <row r="24" ht="84" customHeight="1">
      <c r="A24" s="33" t="inlineStr">
        <is>
          <t>[P1] Analytics events (site funnel)</t>
        </is>
      </c>
      <c r="B24" s="15" t="inlineStr">
        <is>
          <t>Track policy_required, consent_accepted/denied, veriff_launched, pending, approved, declined, abandoned, fulfill_shown — without sending biometrics. Align names with microservice metrics.</t>
        </is>
      </c>
      <c r="C24" s="39" t="n">
        <v>4</v>
      </c>
      <c r="D24" s="39" t="n">
        <v>8</v>
      </c>
      <c r="E24" s="39" t="n">
        <v>16</v>
      </c>
      <c r="F24" s="39">
        <f>ROUND((C24+4*D24+E24)/6,1)</f>
        <v/>
      </c>
    </row>
    <row r="25" ht="84" customHeight="1">
      <c r="A25" s="35" t="inlineStr">
        <is>
          <t>[P1] UX copy deck + localisation for bio screens</t>
        </is>
      </c>
      <c r="B25" s="13" t="inlineStr">
        <is>
          <t>Source copy in brand voice; translate for each live locale. Include camera tips, privacy one-liners, and failure messages. Review with legal.</t>
        </is>
      </c>
      <c r="C25" s="39" t="n">
        <v>8</v>
      </c>
      <c r="D25" s="39" t="n">
        <v>16</v>
      </c>
      <c r="E25" s="39" t="n">
        <v>24</v>
      </c>
      <c r="F25" s="39">
        <f>ROUND((C25+4*D25+E25)/6,1)</f>
        <v/>
      </c>
    </row>
    <row r="26" ht="84" customHeight="1">
      <c r="A26" s="33" t="inlineStr">
        <is>
          <t>[P1] QA on reference brand (desktop + mobile web cameras)</t>
        </is>
      </c>
      <c r="B26" s="15" t="inlineStr">
        <is>
          <t>Real devices: iOS Safari, Android Chrome, in-app Instagram/Facebook browsers, desktop webcam absent. All decision paths. Regression on small-voucher redeem (must still work without bio).</t>
        </is>
      </c>
      <c r="C26" s="39" t="n">
        <v>16</v>
      </c>
      <c r="D26" s="39" t="n">
        <v>28</v>
      </c>
      <c r="E26" s="39" t="n">
        <v>40</v>
      </c>
      <c r="F26" s="39">
        <f>ROUND((C26+4*D26+E26)/6,1)</f>
        <v/>
      </c>
    </row>
    <row r="27" ht="22" customHeight="1">
      <c r="A27" s="37" t="inlineStr">
        <is>
          <t>P1 MVP — Per additional brand website (unit cost after the first brand)</t>
        </is>
      </c>
      <c r="B27" s="38" t="n"/>
      <c r="C27" s="38" t="n"/>
      <c r="D27" s="38" t="n"/>
      <c r="E27" s="38" t="n"/>
      <c r="F27" s="38" t="n"/>
    </row>
    <row r="28" ht="84" customHeight="1">
      <c r="A28" s="33" t="inlineStr">
        <is>
          <t>[P1] Per additional brand site: wire-up, callbacks, config, UAT</t>
        </is>
      </c>
      <c r="B28" s="15" t="inlineStr">
        <is>
          <t>UNIT COST — multiply by (N brands − 1). Import shared kit, brandId/keys, allowlisted callback domains, feature flags, CMS content, locale, prize-type mapping, staging UAT, production hypercare. Assumes similar stack; max hours if the brand is a legacy/custom platform.</t>
        </is>
      </c>
      <c r="C28" s="39" t="n">
        <v>16</v>
      </c>
      <c r="D28" s="39" t="n">
        <v>32</v>
      </c>
      <c r="E28" s="39" t="n">
        <v>48</v>
      </c>
      <c r="F28" s="39">
        <f>ROUND((C28+4*D28+E28)/6,1)</f>
        <v/>
      </c>
    </row>
    <row r="29" ht="84" customHeight="1">
      <c r="A29" s="35" t="inlineStr">
        <is>
          <t>[P1] Per additional brand: CS FAQ, macros, campaign ops checklist</t>
        </is>
      </c>
      <c r="B29" s="13" t="inlineStr">
        <is>
          <t>UNIT COST — multiply by (N brands − 1). Brand-specific prize names, CS hours, and warehouse SKUs in the SOP. Not code, but required for a safe launch.</t>
        </is>
      </c>
      <c r="C29" s="42" t="n">
        <v>4</v>
      </c>
      <c r="D29" s="42" t="n">
        <v>8</v>
      </c>
      <c r="E29" s="42" t="n">
        <v>16</v>
      </c>
      <c r="F29" s="42">
        <f>ROUND((C29+4*D29+E29)/6,1)</f>
        <v/>
      </c>
    </row>
    <row r="30" ht="22" customHeight="1">
      <c r="A30" s="43" t="inlineStr">
        <is>
          <t>P2 — Brand expansion</t>
        </is>
      </c>
      <c r="B30" s="44" t="n"/>
      <c r="C30" s="44" t="n"/>
      <c r="D30" s="44" t="n"/>
      <c r="E30" s="44" t="n"/>
      <c r="F30" s="44" t="n"/>
    </row>
    <row r="31" ht="84" customHeight="1">
      <c r="A31" s="35" t="inlineStr">
        <is>
          <t>[P2] Pre-enroll CTA on win notification surfaces (web + email)</t>
        </is>
      </c>
      <c r="B31" s="13" t="inlineStr">
        <is>
          <t>Win page and email: 'Verify now so you can claim faster' for gated prizes. Deep link into enrollment kit while prize remains on hold.</t>
        </is>
      </c>
      <c r="C31" s="45" t="n">
        <v>8</v>
      </c>
      <c r="D31" s="45" t="n">
        <v>16</v>
      </c>
      <c r="E31" s="45" t="n">
        <v>24</v>
      </c>
      <c r="F31" s="45">
        <f>ROUND((C31+4*D31+E31)/6,1)</f>
        <v/>
      </c>
    </row>
    <row r="32" ht="84" customHeight="1">
      <c r="A32" s="33" t="inlineStr">
        <is>
          <t>[P2] Medium-threshold digital voucher UI rollout</t>
        </is>
      </c>
      <c r="B32" s="15" t="inlineStr">
        <is>
          <t>Extend gated reveal to medium band; watch conversion. A/B or staged brand rollout.</t>
        </is>
      </c>
      <c r="C32" s="45" t="n">
        <v>8</v>
      </c>
      <c r="D32" s="45" t="n">
        <v>12</v>
      </c>
      <c r="E32" s="45" t="n">
        <v>20</v>
      </c>
      <c r="F32" s="45">
        <f>ROUND((C32+4*D32+E32)/6,1)</f>
        <v/>
      </c>
    </row>
    <row r="33" ht="84" customHeight="1">
      <c r="A33" s="35" t="inlineStr">
        <is>
          <t>[P2] Brand theming / Veriff flow language QA</t>
        </is>
      </c>
      <c r="B33" s="13" t="inlineStr">
        <is>
          <t>Pass lang parameter, brand colors if contracted, and visual QA per brand guidelines.</t>
        </is>
      </c>
      <c r="C33" s="45" t="n">
        <v>8</v>
      </c>
      <c r="D33" s="45" t="n">
        <v>16</v>
      </c>
      <c r="E33" s="45" t="n">
        <v>28</v>
      </c>
      <c r="F33" s="45">
        <f>ROUND((C33+4*D33+E33)/6,1)</f>
        <v/>
      </c>
    </row>
    <row r="34" ht="22" customHeight="1">
      <c r="A34" s="46" t="inlineStr">
        <is>
          <t>P3 — Brand hardening</t>
        </is>
      </c>
      <c r="B34" s="47" t="n"/>
      <c r="C34" s="47" t="n"/>
      <c r="D34" s="47" t="n"/>
      <c r="E34" s="47" t="n"/>
      <c r="F34" s="47" t="n"/>
    </row>
    <row r="35" ht="84" customHeight="1">
      <c r="A35" s="35" t="inlineStr">
        <is>
          <t>[P3] IDV document-capture UX for physical / top-tier</t>
        </is>
      </c>
      <c r="B35" s="13" t="inlineStr">
        <is>
          <t>Longer flow (ID + selfie). Country document hints, lighting tips, resume-later inside claim SLA. Higher drop-off — needs progress saver.</t>
        </is>
      </c>
      <c r="C35" s="48" t="n">
        <v>16</v>
      </c>
      <c r="D35" s="48" t="n">
        <v>28</v>
      </c>
      <c r="E35" s="48" t="n">
        <v>48</v>
      </c>
      <c r="F35" s="48">
        <f>ROUND((C35+4*D35+E35)/6,1)</f>
        <v/>
      </c>
    </row>
    <row r="36" ht="84" customHeight="1">
      <c r="A36" s="33" t="inlineStr">
        <is>
          <t>[P3] Step-up login (OTP / password) immediately before bio</t>
        </is>
      </c>
      <c r="B36" s="15" t="inlineStr">
        <is>
          <t>Reduce account-takeover that then passes face match because the thief enrolled after stealing the session. Especially if enrollment can happen post-win.</t>
        </is>
      </c>
      <c r="C36" s="48" t="n">
        <v>8</v>
      </c>
      <c r="D36" s="48" t="n">
        <v>16</v>
      </c>
      <c r="E36" s="48" t="n">
        <v>24</v>
      </c>
      <c r="F36" s="48">
        <f>ROUND((C36+4*D36+E36)/6,1)</f>
        <v/>
      </c>
    </row>
    <row r="37" ht="24" customHeight="1">
      <c r="A37" s="49" t="inlineStr">
        <is>
          <t>TOTAL (all rows on this tab, including one extra-brand unit)</t>
        </is>
      </c>
      <c r="B37" s="50" t="n"/>
      <c r="C37" s="51">
        <f>SUM(C8:C36)</f>
        <v/>
      </c>
      <c r="D37" s="51">
        <f>SUM(D8:D36)</f>
        <v/>
      </c>
      <c r="E37" s="51">
        <f>SUM(E8:E36)</f>
        <v/>
      </c>
      <c r="F37" s="51">
        <f>SUM(F8:F36)</f>
        <v/>
      </c>
    </row>
    <row r="38" ht="24" customHeight="1">
      <c r="A38" s="71" t="inlineStr">
        <is>
          <t>Of which: extra-brand UNIT COST (multiply by N−1 on Tab 4)</t>
        </is>
      </c>
      <c r="B38" s="44" t="n"/>
      <c r="C38" s="72">
        <f>C28+C29</f>
        <v/>
      </c>
      <c r="D38" s="72">
        <f>D28+D29</f>
        <v/>
      </c>
      <c r="E38" s="72">
        <f>E28+E29</f>
        <v/>
      </c>
      <c r="F38" s="72">
        <f>F28+F29</f>
        <v/>
      </c>
    </row>
    <row r="39" ht="24" customHeight="1">
      <c r="A39" s="73" t="inlineStr">
        <is>
          <t>FIRST BRAND ONLY (tab total minus extra-brand unit)</t>
        </is>
      </c>
      <c r="B39" s="38" t="n"/>
      <c r="C39" s="74">
        <f>SUM(C8:C36)-(C28+C29)</f>
        <v/>
      </c>
      <c r="D39" s="74">
        <f>SUM(D8:D36)-(D28+D29)</f>
        <v/>
      </c>
      <c r="E39" s="74">
        <f>SUM(E8:E36)-(E28+E29)</f>
        <v/>
      </c>
      <c r="F39" s="74">
        <f>SUM(F8:F36)-(F28+F29)</f>
        <v/>
      </c>
    </row>
    <row r="41">
      <c r="A41" s="21" t="inlineStr">
        <is>
          <t>Phase subtotals (from item tags)</t>
        </is>
      </c>
    </row>
    <row r="42" ht="24" customHeight="1">
      <c r="A42" s="30" t="inlineStr">
        <is>
          <t>Phase</t>
        </is>
      </c>
      <c r="B42" s="30" t="inlineStr">
        <is>
          <t>Work item count</t>
        </is>
      </c>
      <c r="C42" s="30" t="inlineStr">
        <is>
          <t>Min (hrs)</t>
        </is>
      </c>
      <c r="D42" s="30" t="inlineStr">
        <is>
          <t>Mid (hrs)</t>
        </is>
      </c>
      <c r="E42" s="30" t="inlineStr">
        <is>
          <t>Max (hrs)</t>
        </is>
      </c>
      <c r="F42" s="30" t="inlineStr">
        <is>
          <t>Expected PERT (hrs)</t>
        </is>
      </c>
    </row>
    <row r="43">
      <c r="A43" s="52" t="inlineStr">
        <is>
          <t>P0 Discovery</t>
        </is>
      </c>
      <c r="B43" s="53" t="n">
        <v>2</v>
      </c>
      <c r="C43" s="54" t="n">
        <v>16</v>
      </c>
      <c r="D43" s="54" t="n">
        <v>28</v>
      </c>
      <c r="E43" s="54" t="n">
        <v>44</v>
      </c>
      <c r="F43" s="54">
        <f>ROUND((C43+4*D43+E43)/6,1)</f>
        <v/>
      </c>
    </row>
    <row r="44">
      <c r="A44" s="55" t="inlineStr">
        <is>
          <t>P1 MVP</t>
        </is>
      </c>
      <c r="B44" s="56" t="n">
        <v>18</v>
      </c>
      <c r="C44" s="57" t="n">
        <v>188</v>
      </c>
      <c r="D44" s="57" t="n">
        <v>340</v>
      </c>
      <c r="E44" s="57" t="n">
        <v>540</v>
      </c>
      <c r="F44" s="57">
        <f>ROUND((C44+4*D44+E44)/6,1)</f>
        <v/>
      </c>
    </row>
    <row r="45">
      <c r="A45" s="58" t="inlineStr">
        <is>
          <t>P2 Expand</t>
        </is>
      </c>
      <c r="B45" s="59" t="n">
        <v>3</v>
      </c>
      <c r="C45" s="60" t="n">
        <v>24</v>
      </c>
      <c r="D45" s="60" t="n">
        <v>44</v>
      </c>
      <c r="E45" s="60" t="n">
        <v>72</v>
      </c>
      <c r="F45" s="60">
        <f>ROUND((C45+4*D45+E45)/6,1)</f>
        <v/>
      </c>
    </row>
    <row r="46">
      <c r="A46" s="61" t="inlineStr">
        <is>
          <t>P3 Harden</t>
        </is>
      </c>
      <c r="B46" s="62" t="n">
        <v>2</v>
      </c>
      <c r="C46" s="63" t="n">
        <v>24</v>
      </c>
      <c r="D46" s="63" t="n">
        <v>44</v>
      </c>
      <c r="E46" s="63" t="n">
        <v>72</v>
      </c>
      <c r="F46" s="63">
        <f>ROUND((C46+4*D46+E46)/6,1)</f>
        <v/>
      </c>
    </row>
    <row r="47">
      <c r="A47" s="64" t="inlineStr">
        <is>
          <t>Of which tagged Business Ops (subset of above)</t>
        </is>
      </c>
      <c r="B47" s="65" t="n">
        <v>1</v>
      </c>
      <c r="C47" s="66" t="n">
        <v>4</v>
      </c>
      <c r="D47" s="66" t="n">
        <v>8</v>
      </c>
      <c r="E47" s="66" t="n">
        <v>16</v>
      </c>
      <c r="F47" s="66">
        <f>ROUND((C47+4*D47+E47)/6,1)</f>
        <v/>
      </c>
    </row>
    <row r="48">
      <c r="A48" s="67" t="inlineStr">
        <is>
          <t>Of which tagged Legal/Privacy (subset of above)</t>
        </is>
      </c>
      <c r="B48" s="68" t="n">
        <v>1</v>
      </c>
      <c r="C48" s="69" t="n">
        <v>8</v>
      </c>
      <c r="D48" s="69" t="n">
        <v>12</v>
      </c>
      <c r="E48" s="69" t="n">
        <v>20</v>
      </c>
      <c r="F48" s="69">
        <f>ROUND((C48+4*D48+E48)/6,1)</f>
        <v/>
      </c>
    </row>
    <row r="50">
      <c r="A50" s="70" t="inlineStr">
        <is>
          <t>MVP recommendation on this tab = P0 + P1 rows. P2/P3 are sequenced after MVP evidence (pass-rate, CS load, fraud loss).</t>
        </is>
      </c>
    </row>
  </sheetData>
  <mergeCells count="13">
    <mergeCell ref="A2:F2"/>
    <mergeCell ref="A38:B38"/>
    <mergeCell ref="A10:F10"/>
    <mergeCell ref="A1:F1"/>
    <mergeCell ref="A27:F27"/>
    <mergeCell ref="A37:B37"/>
    <mergeCell ref="A34:F34"/>
    <mergeCell ref="A39:B39"/>
    <mergeCell ref="A4:F4"/>
    <mergeCell ref="A50:F50"/>
    <mergeCell ref="A3:F3"/>
    <mergeCell ref="A30:F30"/>
    <mergeCell ref="A7:F7"/>
  </mergeCells>
  <pageMargins left="0.4" right="0.4" top="0.5" bottom="0.5" header="0.5" footer="0.5"/>
  <pageSetup orientation="landscape" paperSize="9" fitToHeight="0" fitToWidth="1"/>
  <headerFooter>
    <oddHeader>&amp;LTab 2 — Brand websites</oddHeader>
    <oddFooter>&amp;LConfidential | Solution architecture estimate | Not a statement of work&amp;RPage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72" customWidth="1" min="3" max="3"/>
    <col width="78" customWidth="1" min="4" max="4"/>
  </cols>
  <sheetData>
    <row r="1" ht="28" customHeight="1">
      <c r="A1" s="1" t="inlineStr">
        <is>
          <t>Developer / client requirements we need</t>
        </is>
      </c>
      <c r="B1" s="2" t="n"/>
      <c r="C1" s="2" t="n"/>
      <c r="D1" s="2" t="n"/>
    </row>
    <row r="2" ht="36" customHeight="1">
      <c r="A2" s="3" t="inlineStr">
        <is>
          <t>Inputs that unblock architecture, hours, and go-live. Blocking items in P0/P1 should be requested immediately. This is not a technical design of Veriff — it is the client-side dependency list.</t>
        </is>
      </c>
      <c r="B2" s="4" t="n"/>
      <c r="C2" s="4" t="n"/>
      <c r="D2" s="4" t="n"/>
    </row>
    <row r="3" ht="48" customHeight="1">
      <c r="A3" s="5" t="inlineStr">
        <is>
          <t>Give this list to the client PM. Items marked Blocking = Y stop P1 build or UAT if missing. 'When needed' is the latest phase the item must exist; earlier is better. Engineering can proceed on mocks only until Veriff keys + brand identity + prize taxonomy arrive.</t>
        </is>
      </c>
      <c r="B3" s="6" t="n"/>
      <c r="C3" s="6" t="n"/>
      <c r="D3" s="6" t="n"/>
    </row>
    <row r="5" ht="24" customHeight="1">
      <c r="A5" s="30" t="inlineStr">
        <is>
          <t>When needed</t>
        </is>
      </c>
      <c r="B5" s="30" t="inlineStr">
        <is>
          <t>Blocking?</t>
        </is>
      </c>
      <c r="C5" s="30" t="inlineStr">
        <is>
          <t>Requirements</t>
        </is>
      </c>
      <c r="D5" s="30" t="inlineStr">
        <is>
          <t>Why we need it</t>
        </is>
      </c>
    </row>
    <row r="6" ht="78" customHeight="1">
      <c r="A6" s="75" t="inlineStr">
        <is>
          <t>P0</t>
        </is>
      </c>
      <c r="B6" s="76" t="inlineStr">
        <is>
          <t>Y</t>
        </is>
      </c>
      <c r="C6" s="15" t="inlineStr">
        <is>
          <t>Brand consent / privacy notice copy owner and required legal review SLA.</t>
        </is>
      </c>
      <c r="D6" s="15" t="inlineStr">
        <is>
          <t>Camera cannot open without consented purpose text. Late legal copy is a common go-live slip.</t>
        </is>
      </c>
    </row>
    <row r="7" ht="78" customHeight="1">
      <c r="A7" s="75" t="inlineStr">
        <is>
          <t>P0</t>
        </is>
      </c>
      <c r="B7" s="76" t="inlineStr">
        <is>
          <t>Y</t>
        </is>
      </c>
      <c r="C7" s="13" t="inlineStr">
        <is>
          <t>Budget owner for Veriff per-session fees vs prize COGS, and a kill-switch authority if cost/conversion is worse than fraud savings.</t>
        </is>
      </c>
      <c r="D7" s="13" t="inlineStr">
        <is>
          <t>Putting bio on small vouchers can cost more than the voucher. Finance must own the threshold decision, not engineering.</t>
        </is>
      </c>
    </row>
    <row r="8" ht="78" customHeight="1">
      <c r="A8" s="75" t="inlineStr">
        <is>
          <t>P0</t>
        </is>
      </c>
      <c r="B8" s="76" t="inlineStr">
        <is>
          <t>Y</t>
        </is>
      </c>
      <c r="C8" s="15" t="inlineStr">
        <is>
          <t>CS, fraud, and warehouse owners + surge staffing model for campaign peaks.</t>
        </is>
      </c>
      <c r="D8" s="15" t="inlineStr">
        <is>
          <t>Exception and mismatch queues are business operations, not a developer backlog. Need named owners to write SOPs and staff UAT.</t>
        </is>
      </c>
    </row>
    <row r="9" ht="78" customHeight="1">
      <c r="A9" s="75" t="inlineStr">
        <is>
          <t>P0</t>
        </is>
      </c>
      <c r="B9" s="76" t="inlineStr">
        <is>
          <t>Y</t>
        </is>
      </c>
      <c r="C9" s="13" t="inlineStr">
        <is>
          <t>Claim window / SLA (e.g. 7 or 14 days) and what happens on expiry (forfeit, redraw, CS exception).</t>
        </is>
      </c>
      <c r="D9" s="13" t="inlineStr">
        <is>
          <t>Must match Veriff session TTL (unstarted sessions expire in 7 days) and warehouse reservation time.</t>
        </is>
      </c>
    </row>
    <row r="10" ht="78" customHeight="1">
      <c r="A10" s="75" t="inlineStr">
        <is>
          <t>P0</t>
        </is>
      </c>
      <c r="B10" s="76" t="inlineStr">
        <is>
          <t>Y</t>
        </is>
      </c>
      <c r="C10" s="15" t="inlineStr">
        <is>
          <t>Client privacy counsel contact and whether a DPIA / ROPA update is already in flight. Retention policy for biometric-linked records.</t>
        </is>
      </c>
      <c r="D10" s="15" t="inlineStr">
        <is>
          <t>We cannot set retention or consent copy without the controller's policy. Blocks P0 legal workstream.</t>
        </is>
      </c>
    </row>
    <row r="11" ht="78" customHeight="1">
      <c r="A11" s="75" t="inlineStr">
        <is>
          <t>P0</t>
        </is>
      </c>
      <c r="B11" s="76" t="inlineStr">
        <is>
          <t>Y</t>
        </is>
      </c>
      <c r="C11" s="13" t="inlineStr">
        <is>
          <t>Client-approved threshold table: High (MVP in), Medium (Phase 2), Low (bio not required). Per brand/market if needed.</t>
        </is>
      </c>
      <c r="D11" s="13" t="inlineStr">
        <is>
          <t>Policy engine is configuration. Without signed numbers we cannot estimate conversion impact or finish UAT cases.</t>
        </is>
      </c>
    </row>
    <row r="12" ht="78" customHeight="1">
      <c r="A12" s="75" t="inlineStr">
        <is>
          <t>P0</t>
        </is>
      </c>
      <c r="B12" s="76" t="inlineStr">
        <is>
          <t>Y</t>
        </is>
      </c>
      <c r="C12" s="15" t="inlineStr">
        <is>
          <t>Current authentication model on each site (session, SSO, magic link, OTP) and account-recovery flow.</t>
        </is>
      </c>
      <c r="D12" s="15" t="inlineStr">
        <is>
          <t>Bio proves the person matches the enrolled face, not that the account wasn't stolen before enrollment. We need to know how weak login/recovery is to design step-up.</t>
        </is>
      </c>
    </row>
    <row r="13" ht="78" customHeight="1">
      <c r="A13" s="75" t="inlineStr">
        <is>
          <t>P0</t>
        </is>
      </c>
      <c r="B13" s="76" t="inlineStr">
        <is>
          <t>Y</t>
        </is>
      </c>
      <c r="C13" s="13" t="inlineStr">
        <is>
          <t>Digital voucher issuer details: API, whether codes can be generated lazily, voided, and whether win emails already contain the code.</t>
        </is>
      </c>
      <c r="D13" s="13" t="inlineStr">
        <is>
          <t>Gated digital prizes must not reveal the code before Approved. If emails already contain codes, marketing/ops must change templates before go-live.</t>
        </is>
      </c>
    </row>
    <row r="14" ht="78" customHeight="1">
      <c r="A14" s="75" t="inlineStr">
        <is>
          <t>P0</t>
        </is>
      </c>
      <c r="B14" s="76" t="inlineStr">
        <is>
          <t>Y</t>
        </is>
      </c>
      <c r="C14" s="15" t="inlineStr">
        <is>
          <t>Existing winner / campaign / redemption APIs and data model (how a win is stored, claim tokens, voucher issuer, fulfillment statuses).</t>
        </is>
      </c>
      <c r="D14" s="15" t="inlineStr">
        <is>
          <t>The bio service must lock and release the real prize record. We cannot build a side database that the warehouse and voucher issuer ignore.</t>
        </is>
      </c>
    </row>
    <row r="15" ht="78" customHeight="1">
      <c r="A15" s="75" t="inlineStr">
        <is>
          <t>P0</t>
        </is>
      </c>
      <c r="B15" s="76" t="inlineStr">
        <is>
          <t>Y</t>
        </is>
      </c>
      <c r="C15" s="13" t="inlineStr">
        <is>
          <t>Fulfillment / 3PL process for physical prizes today: statuses, who can release a shipment, address validation, restricted countries.</t>
        </is>
      </c>
      <c r="D15" s="13" t="inlineStr">
        <is>
          <t>MVP success depends on default-hold. If 3PL ships on 'won', bio will not protect the prize regardless of software quality.</t>
        </is>
      </c>
    </row>
    <row r="16" ht="78" customHeight="1">
      <c r="A16" s="75" t="inlineStr">
        <is>
          <t>P0</t>
        </is>
      </c>
      <c r="B16" s="76" t="inlineStr">
        <is>
          <t>Y</t>
        </is>
      </c>
      <c r="C16" s="15" t="inlineStr">
        <is>
          <t>List of brand websites in scope: legal entity, production/staging URLs, owners, tech stack, locales, and whether web-only or also native apps.</t>
        </is>
      </c>
      <c r="D16" s="15" t="inlineStr">
        <is>
          <t>Microservice is multi-tenant. Callback allowlists, CORS, lang parameters, and the per-brand integration estimate depend on this list.</t>
        </is>
      </c>
    </row>
    <row r="17" ht="78" customHeight="1">
      <c r="A17" s="75" t="inlineStr">
        <is>
          <t>P0</t>
        </is>
      </c>
      <c r="B17" s="76" t="inlineStr">
        <is>
          <t>Y</t>
        </is>
      </c>
      <c r="C17" s="13" t="inlineStr">
        <is>
          <t>Markets / countries in go-live and any biometric or promotions-law constraints (GDPR, consent age, photography bans, prize regulations).</t>
        </is>
      </c>
      <c r="D17" s="13" t="inlineStr">
        <is>
          <t>DPIA, consent UX, Veriff coverage, and whether IDV documents are acceptable in those markets. Affects legal hours and exception SOP.</t>
        </is>
      </c>
    </row>
    <row r="18" ht="78" customHeight="1">
      <c r="A18" s="75" t="inlineStr">
        <is>
          <t>P0</t>
        </is>
      </c>
      <c r="B18" s="76" t="inlineStr">
        <is>
          <t>Y</t>
        </is>
      </c>
      <c r="C18" s="15" t="inlineStr">
        <is>
          <t>Prize catalog: physical vs digital voucher, face values, currencies, SKUs, average monthly volumes, and historical fraud/loss on each band.</t>
        </is>
      </c>
      <c r="D18" s="15" t="inlineStr">
        <is>
          <t>Drives MVP thresholds (physical + high-value only) and Veriff cost modelling. Small-voucher volume is usually too high to put behind bio in MVP.</t>
        </is>
      </c>
    </row>
    <row r="19" ht="78" customHeight="1">
      <c r="A19" s="75" t="inlineStr">
        <is>
          <t>P0</t>
        </is>
      </c>
      <c r="B19" s="76" t="inlineStr">
        <is>
          <t>Y</t>
        </is>
      </c>
      <c r="C19" s="13" t="inlineStr">
        <is>
          <t>Sandbox and production API keys, baseURLs, and webhook signature secrets delivered via a secret manager (not email/Slack).</t>
        </is>
      </c>
      <c r="D19" s="13" t="inlineStr">
        <is>
          <t>Needed to call POST /sessions and to verify that decision webhooks are actually from Veriff. Keys must never be placed on brand websites.</t>
        </is>
      </c>
    </row>
    <row r="20" ht="78" customHeight="1">
      <c r="A20" s="75" t="inlineStr">
        <is>
          <t>P0</t>
        </is>
      </c>
      <c r="B20" s="76" t="inlineStr">
        <is>
          <t>Y</t>
        </is>
      </c>
      <c r="C20" s="15" t="inlineStr">
        <is>
          <t>Signed Veriff commercial agreement covering Biometric Authentication + Enrollment (and optional IDV), sandbox and production, estimated session volumes, FaceBlock, and data processing terms.</t>
        </is>
      </c>
      <c r="D20" s="15" t="inlineStr">
        <is>
          <t>Without a live Veriff account and the two linked integrations (enrollment + authentication), the microservice cannot create sessions or receive decisions. Volume estimates also drive the cost vs small-voucher policy.</t>
        </is>
      </c>
    </row>
    <row r="21" ht="78" customHeight="1">
      <c r="A21" s="75" t="inlineStr">
        <is>
          <t>P0</t>
        </is>
      </c>
      <c r="B21" s="76" t="inlineStr">
        <is>
          <t>Y</t>
        </is>
      </c>
      <c r="C21" s="13" t="inlineStr">
        <is>
          <t>Stable user identity scheme per brand: is user_id UUID v4? If not, the immutable identifier to send as vendorData. Guest vs registered winner policy.</t>
        </is>
      </c>
      <c r="D21" s="13" t="inlineStr">
        <is>
          <t>Veriff endUserId must be UUID v4; otherwise vendorData (immutable, non-semantic). If guest winners exist, selfie-only bio cannot prove they are the intended recipient — we need a registered account policy for gated prizes.</t>
        </is>
      </c>
    </row>
    <row r="22" ht="78" customHeight="1">
      <c r="A22" s="75" t="inlineStr">
        <is>
          <t>P0</t>
        </is>
      </c>
      <c r="B22" s="76" t="inlineStr">
        <is>
          <t>Y</t>
        </is>
      </c>
      <c r="C22" s="15" t="inlineStr">
        <is>
          <t>Veriff Customer Portal users (engineering, fraud ops, maybe CS lead) for sandbox and production, with webhook URL fields writable.</t>
        </is>
      </c>
      <c r="D22" s="15" t="inlineStr">
        <is>
          <t>Webhooks, test-session forcing, and investigation of declined redemptions are done in the portal. Missing access blocks UAT and freeze/fraud handling.</t>
        </is>
      </c>
    </row>
    <row r="23" ht="78" customHeight="1">
      <c r="A23" s="75" t="inlineStr">
        <is>
          <t>P0</t>
        </is>
      </c>
      <c r="B23" s="76" t="inlineStr">
        <is>
          <t>Y</t>
        </is>
      </c>
      <c r="C23" s="13" t="inlineStr">
        <is>
          <t>Veriff Solutions Engineer to provision and connect a Selfie Enrollment integration and a Biometric Authentication integration (separate API keys and baseURLs).</t>
        </is>
      </c>
      <c r="D23" s="13" t="inlineStr">
        <is>
          <t>Veriff requires an approved enrollment session before authentication. Connecting the two integrations is a vendor configuration step, not something engineering can do from the public API alone.</t>
        </is>
      </c>
    </row>
    <row r="24" ht="78" customHeight="1">
      <c r="A24" s="75" t="inlineStr">
        <is>
          <t>P0</t>
        </is>
      </c>
      <c r="B24" s="76" t="inlineStr">
        <is>
          <t>Y</t>
        </is>
      </c>
      <c r="C24" s="15" t="inlineStr">
        <is>
          <t>Whether any prior KYC/IDV/selfie exists (including other vendors) and if Veriff can migrate reference images.</t>
        </is>
      </c>
      <c r="D24" s="15" t="inlineStr">
        <is>
          <t>Migration can skip mass re-enrollment. If none exist, every gated winner is an unenrolled user and must go through enrollment at claim (or pre-enroll).</t>
        </is>
      </c>
    </row>
    <row r="25" ht="78" customHeight="1">
      <c r="A25" s="75" t="inlineStr">
        <is>
          <t>P0</t>
        </is>
      </c>
      <c r="B25" s="77" t="inlineStr">
        <is>
          <t>N</t>
        </is>
      </c>
      <c r="C25" s="13" t="inlineStr">
        <is>
          <t>Historical fraud cases on rewards (ATO, farmed accounts, physical not-received, voucher resale).</t>
        </is>
      </c>
      <c r="D25" s="13" t="inlineStr">
        <is>
          <t>Tunes thresholds, velocity limits, and whether selfie-only enrollment is acceptable or IDV should be pulled into MVP for physical.</t>
        </is>
      </c>
    </row>
    <row r="26" ht="78" customHeight="1">
      <c r="A26" s="75" t="inlineStr">
        <is>
          <t>P0</t>
        </is>
      </c>
      <c r="B26" s="77" t="inlineStr">
        <is>
          <t>N</t>
        </is>
      </c>
      <c r="C26" s="15" t="inlineStr">
        <is>
          <t>Native iOS/Android apps in scope, or web-only for MVP.</t>
        </is>
      </c>
      <c r="D26" s="15" t="inlineStr">
        <is>
          <t>Native needs Veriff native SDKs and extra hours not included in the website kit. Default estimate assumes web (including mobile web).</t>
        </is>
      </c>
    </row>
    <row r="27" ht="78" customHeight="1">
      <c r="A27" s="77" t="inlineStr">
        <is>
          <t>P1</t>
        </is>
      </c>
      <c r="B27" s="76" t="inlineStr">
        <is>
          <t>Y</t>
        </is>
      </c>
      <c r="C27" s="13" t="inlineStr">
        <is>
          <t>Allowlisted callback / return URLs per brand (prod + staging) and who can request DNS/WAF changes.</t>
        </is>
      </c>
      <c r="D27" s="13" t="inlineStr">
        <is>
          <t>Veriff redirects users back to the site. Wrong or blocked callbacks look like 'bio is broken'. WAF must allow Veriff webhook IPs/headers to the microservice.</t>
        </is>
      </c>
    </row>
    <row r="28" ht="78" customHeight="1">
      <c r="A28" s="77" t="inlineStr">
        <is>
          <t>P1</t>
        </is>
      </c>
      <c r="B28" s="76" t="inlineStr">
        <is>
          <t>Y</t>
        </is>
      </c>
      <c r="C28" s="15" t="inlineStr">
        <is>
          <t>Decision on Veriff UX: InContext SDK vs full redirect, and default language per brand.</t>
        </is>
      </c>
      <c r="D28" s="15" t="inlineStr">
        <is>
          <t>Frontend kit implementation differs. Redirect is simpler but higher drop-off; InContext is better UX but more QA on iframe/camera.</t>
        </is>
      </c>
    </row>
    <row r="29" ht="78" customHeight="1">
      <c r="A29" s="77" t="inlineStr">
        <is>
          <t>P1</t>
        </is>
      </c>
      <c r="B29" s="76" t="inlineStr">
        <is>
          <t>Y</t>
        </is>
      </c>
      <c r="C29" s="13" t="inlineStr">
        <is>
          <t>Exception policy for users without a camera, with disabilities, or in unsupported browsers/devices.</t>
        </is>
      </c>
      <c r="D29" s="13" t="inlineStr">
        <is>
          <t>Unenrolled / unable-to-enroll is a guaranteed real-world path. Need an approved alternative (manual ID check, substitute prize, or forfeit) before launch.</t>
        </is>
      </c>
    </row>
    <row r="30" ht="78" customHeight="1">
      <c r="A30" s="77" t="inlineStr">
        <is>
          <t>P1</t>
        </is>
      </c>
      <c r="B30" s="76" t="inlineStr">
        <is>
          <t>Y</t>
        </is>
      </c>
      <c r="C30" s="15" t="inlineStr">
        <is>
          <t>Manual-override policy: who may release a prize without approved bio, dual-control, and which prize types are never overridable.</t>
        </is>
      </c>
      <c r="D30" s="15" t="inlineStr">
        <is>
          <t>Admin console is dangerous without a written policy. Physical prizes should rarely (if ever) skip bio.</t>
        </is>
      </c>
    </row>
    <row r="31" ht="78" customHeight="1">
      <c r="A31" s="77" t="inlineStr">
        <is>
          <t>P1</t>
        </is>
      </c>
      <c r="B31" s="76" t="inlineStr">
        <is>
          <t>Y</t>
        </is>
      </c>
      <c r="C31" s="13" t="inlineStr">
        <is>
          <t>On-call / incident contacts on client side (site down, campaign live, warehouse blocked).</t>
        </is>
      </c>
      <c r="D31" s="13" t="inlineStr">
        <is>
          <t>Hypercare is joint. A frozen physical-prize queue at 3PL is a business incident, not only an HTTP 500.</t>
        </is>
      </c>
    </row>
    <row r="32" ht="78" customHeight="1">
      <c r="A32" s="77" t="inlineStr">
        <is>
          <t>P1</t>
        </is>
      </c>
      <c r="B32" s="76" t="inlineStr">
        <is>
          <t>Y</t>
        </is>
      </c>
      <c r="C32" s="15" t="inlineStr">
        <is>
          <t>Production feature-flag owner and campaign calendar (first physical / high-value draws after go-live).</t>
        </is>
      </c>
      <c r="D32" s="15" t="inlineStr">
        <is>
          <t>Cutover should land before a high-value drop, with hypercare. Do not enable on a mega small-voucher drop first.</t>
        </is>
      </c>
    </row>
    <row r="33" ht="78" customHeight="1">
      <c r="A33" s="77" t="inlineStr">
        <is>
          <t>P1</t>
        </is>
      </c>
      <c r="B33" s="76" t="inlineStr">
        <is>
          <t>Y</t>
        </is>
      </c>
      <c r="C33" s="13" t="inlineStr">
        <is>
          <t>Retry policy: max attempts after quality decline vs immediate freeze after mismatch/fraud codes.</t>
        </is>
      </c>
      <c r="D33" s="13" t="inlineStr">
        <is>
          <t>Coded into the state machine. Too generous → fraud; too strict → CS volume and prize complaints.</t>
        </is>
      </c>
    </row>
    <row r="34" ht="78" customHeight="1">
      <c r="A34" s="77" t="inlineStr">
        <is>
          <t>P1</t>
        </is>
      </c>
      <c r="B34" s="76" t="inlineStr">
        <is>
          <t>Y</t>
        </is>
      </c>
      <c r="C34" s="15" t="inlineStr">
        <is>
          <t>Sample test winners per brand (physical, high-value digital, small digital) on staging, including users with and without webcams.</t>
        </is>
      </c>
      <c r="D34" s="15" t="inlineStr">
        <is>
          <t>UAT scripts cannot run on production campaigns. Need seed data and permission to complete Veriff sandbox sessions.</t>
        </is>
      </c>
    </row>
    <row r="35" ht="78" customHeight="1">
      <c r="A35" s="77" t="inlineStr">
        <is>
          <t>P1</t>
        </is>
      </c>
      <c r="B35" s="76" t="inlineStr">
        <is>
          <t>Y</t>
        </is>
      </c>
      <c r="C35" s="13" t="inlineStr">
        <is>
          <t>Staging environments of each in-scope brand site that can reach the bio microservice and Veriff sandbox (HTTPS, cameras allowed).</t>
        </is>
      </c>
      <c r="D35" s="13" t="inlineStr">
        <is>
          <t>UAT of InContext/redirect and webhooks requires real browser camera flows on staging, not mocks only.</t>
        </is>
      </c>
    </row>
    <row r="36" ht="78" customHeight="1">
      <c r="A36" s="77" t="inlineStr">
        <is>
          <t>P1</t>
        </is>
      </c>
      <c r="B36" s="76" t="inlineStr">
        <is>
          <t>Y</t>
        </is>
      </c>
      <c r="C36" s="15" t="inlineStr">
        <is>
          <t>WAF / public endpoint ownership for the microservice webhook URL (TLS cert, Veriff webhook delivery requirements).</t>
        </is>
      </c>
      <c r="D36" s="15" t="inlineStr">
        <is>
          <t>Veriff must reach our webhook; we must verify signatures. Network/security team usually owns this.</t>
        </is>
      </c>
    </row>
    <row r="37" ht="78" customHeight="1">
      <c r="A37" s="77" t="inlineStr">
        <is>
          <t>P1</t>
        </is>
      </c>
      <c r="B37" s="77" t="inlineStr">
        <is>
          <t>N</t>
        </is>
      </c>
      <c r="C37" s="13" t="inlineStr">
        <is>
          <t>Brand design tokens / Veriff flow customization options (logo, color) if purchased.</t>
        </is>
      </c>
      <c r="D37" s="13" t="inlineStr">
        <is>
          <t>Affects frontend theming hours and vendor config. Can launch with default Veriff UI in MVP.</t>
        </is>
      </c>
    </row>
    <row r="38" ht="78" customHeight="1">
      <c r="A38" s="77" t="inlineStr">
        <is>
          <t>P1</t>
        </is>
      </c>
      <c r="B38" s="77" t="inlineStr">
        <is>
          <t>N</t>
        </is>
      </c>
      <c r="C38" s="15" t="inlineStr">
        <is>
          <t>Existing customer-comms platform templates access (Braze/SFMC/etc.) for win and reminder emails.</t>
        </is>
      </c>
      <c r="D38" s="15" t="inlineStr">
        <is>
          <t>Gated prizes must not email voucher codes early. Physical win emails must mention the face check and deadline.</t>
        </is>
      </c>
    </row>
    <row r="39" ht="78" customHeight="1">
      <c r="A39" s="78" t="inlineStr">
        <is>
          <t>P2</t>
        </is>
      </c>
      <c r="B39" s="77" t="inlineStr">
        <is>
          <t>N</t>
        </is>
      </c>
      <c r="C39" s="13" t="inlineStr">
        <is>
          <t>Appetite to use Veriff FaceBlock and who is authorised to add faces.</t>
        </is>
      </c>
      <c r="D39" s="13" t="inlineStr">
        <is>
          <t>Repeat physical-prize fraudsters. Requires contract add-on and an ops process.</t>
        </is>
      </c>
    </row>
    <row r="40" ht="78" customHeight="1">
      <c r="A40" s="78" t="inlineStr">
        <is>
          <t>P2</t>
        </is>
      </c>
      <c r="B40" s="77" t="inlineStr">
        <is>
          <t>N</t>
        </is>
      </c>
      <c r="C40" s="15" t="inlineStr">
        <is>
          <t>Whether the same natural person may win across multiple brands, and the source-of-truth person ID if yes.</t>
        </is>
      </c>
      <c r="D40" s="15" t="inlineStr">
        <is>
          <t>Needed for duplicate-face / cross-brand abuse rules in Phase 2. If unknown, we treat brands as isolated identities in MVP.</t>
        </is>
      </c>
    </row>
    <row r="41" ht="78" customHeight="1">
      <c r="A41" s="79" t="inlineStr">
        <is>
          <t>P3</t>
        </is>
      </c>
      <c r="B41" s="77" t="inlineStr">
        <is>
          <t>N</t>
        </is>
      </c>
      <c r="C41" s="13" t="inlineStr">
        <is>
          <t>Name-match and address-match tolerance rules for shipping vs IDV payload.</t>
        </is>
      </c>
      <c r="D41" s="13" t="inlineStr">
        <is>
          <t>Only relevant if IDV is in scope. Needs ops false-positive policy (hyphenated names, character sets).</t>
        </is>
      </c>
    </row>
    <row r="42" ht="78" customHeight="1">
      <c r="A42" s="79" t="inlineStr">
        <is>
          <t>P3</t>
        </is>
      </c>
      <c r="B42" s="77" t="inlineStr">
        <is>
          <t>N</t>
        </is>
      </c>
      <c r="C42" s="15" t="inlineStr">
        <is>
          <t>Whether Document+Selfie IDV is approved for physical/top-tier (extra vendor cost, higher drop-off, stronger legal-identity bind).</t>
        </is>
      </c>
      <c r="D42" s="15" t="inlineStr">
        <is>
          <t>Selfie-only enrollment cannot prove the enrollee is the intended winner if the account was already taken over. IDV is the recommended end-state for physical prizes.</t>
        </is>
      </c>
    </row>
    <row r="44" ht="36" customHeight="1">
      <c r="A44" s="70" t="inlineStr">
        <is>
          <t>Minimum set to start P1 engineering: Veriff sandbox keys + linked enrollment/auth integrations, brand list, user id scheme, prize catalog + High threshold, winner/redemption API access, staging site with HTTPS.</t>
        </is>
      </c>
    </row>
  </sheetData>
  <autoFilter ref="A5:D5"/>
  <mergeCells count="4">
    <mergeCell ref="A1:D1"/>
    <mergeCell ref="A3:D3"/>
    <mergeCell ref="A2:D2"/>
    <mergeCell ref="A44:D44"/>
  </mergeCells>
  <pageMargins left="0.4" right="0.4" top="0.5" bottom="0.5" header="0.5" footer="0.5"/>
  <pageSetup orientation="landscape" paperSize="9" fitToHeight="0" fitToWidth="1"/>
  <headerFooter>
    <oddHeader>&amp;LVeriff Biometric Auth — Rewards Redemption Estimation</oddHeader>
    <oddFooter>&amp;LConfidential | Solution architecture estimate | Not a statement of work&amp;RPage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6" customWidth="1" min="4" max="4"/>
    <col width="16" customWidth="1" min="5" max="5"/>
    <col width="20" customWidth="1" min="6" max="6"/>
    <col width="22" customWidth="1" min="7" max="7"/>
    <col width="40" customWidth="1" min="8" max="8"/>
  </cols>
  <sheetData>
    <row r="1" ht="28" customHeight="1">
      <c r="A1" s="1" t="inlineStr">
        <is>
          <t>Phased estimation summary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Roll-up of Tabs 1 and 2. Change the yellow inputs (brand count, whether to include P2/P3). MVP = P0 + P1. Additional brands use the unit-cost rows from Tab 2.</t>
        </is>
      </c>
      <c r="B2" s="4" t="n"/>
      <c r="C2" s="4" t="n"/>
      <c r="D2" s="4" t="n"/>
      <c r="E2" s="4" t="n"/>
      <c r="F2" s="4" t="n"/>
      <c r="G2" s="4" t="n"/>
      <c r="H2" s="4" t="n"/>
    </row>
    <row r="3" ht="48" customHeight="1">
      <c r="A3" s="5" t="inlineStr">
        <is>
          <t>PERT expected is the planning number to use in a SOW discussion: (Min + 4×Mid + Max) / 6. Re-baseline after P0. Do not average Min and Max without the Mid weight — Mid is the expected delivery path.</t>
        </is>
      </c>
      <c r="B3" s="6" t="n"/>
      <c r="C3" s="6" t="n"/>
      <c r="D3" s="6" t="n"/>
      <c r="E3" s="6" t="n"/>
      <c r="F3" s="6" t="n"/>
      <c r="G3" s="6" t="n"/>
      <c r="H3" s="6" t="n"/>
    </row>
    <row r="5">
      <c r="A5" s="80" t="inlineStr">
        <is>
          <t>INPUTS (edit yellow cells)</t>
        </is>
      </c>
      <c r="B5" s="81" t="n"/>
      <c r="C5" s="81" t="n"/>
    </row>
    <row r="6">
      <c r="A6" t="inlineStr">
        <is>
          <t>Number of brand websites in MVP</t>
        </is>
      </c>
      <c r="B6" s="82" t="n">
        <v>2</v>
      </c>
      <c r="C6" s="70" t="inlineStr">
        <is>
          <t>First brand is in the base Tab 2 hours. Extra brands add the unit-cost rows.</t>
        </is>
      </c>
    </row>
    <row r="7">
      <c r="A7" t="inlineStr">
        <is>
          <t>Include P2 hours in 'Full recommended'?</t>
        </is>
      </c>
      <c r="B7" s="83" t="inlineStr">
        <is>
          <t>Yes</t>
        </is>
      </c>
      <c r="C7" s="70" t="inlineStr">
        <is>
          <t>P2 = medium vouchers, pre-enroll, fraud tooling.</t>
        </is>
      </c>
    </row>
    <row r="8">
      <c r="A8" t="inlineStr">
        <is>
          <t>Include P3 hours in 'Full recommended'?</t>
        </is>
      </c>
      <c r="B8" s="83" t="inlineStr">
        <is>
          <t>Yes</t>
        </is>
      </c>
      <c r="C8" s="70" t="inlineStr">
        <is>
          <t>P3 = IDV for physical/top-tier, name match, DSR. Stronger 'legit winner' bind.</t>
        </is>
      </c>
    </row>
    <row r="10">
      <c r="A10" s="22" t="inlineStr">
        <is>
          <t>BASE HOURS (from Tabs 1–2, first brand only; incremental brand rows excluded from base)</t>
        </is>
      </c>
      <c r="B10" s="2" t="n"/>
      <c r="C10" s="2" t="n"/>
      <c r="D10" s="2" t="n"/>
      <c r="E10" s="2" t="n"/>
      <c r="F10" s="2" t="n"/>
      <c r="G10" s="2" t="n"/>
      <c r="H10" s="2" t="n"/>
    </row>
    <row r="11" ht="24" customHeight="1">
      <c r="A11" s="30" t="inlineStr">
        <is>
          <t>Workstream / phase</t>
        </is>
      </c>
      <c r="B11" s="30" t="inlineStr">
        <is>
          <t>Count of items</t>
        </is>
      </c>
      <c r="C11" s="30" t="inlineStr">
        <is>
          <t>Min (hrs)</t>
        </is>
      </c>
      <c r="D11" s="30" t="inlineStr">
        <is>
          <t>Mid (hrs)</t>
        </is>
      </c>
      <c r="E11" s="30" t="inlineStr">
        <is>
          <t>Max (hrs)</t>
        </is>
      </c>
      <c r="F11" s="30" t="inlineStr">
        <is>
          <t>Expected PERT (hrs)</t>
        </is>
      </c>
      <c r="G11" s="30" t="inlineStr">
        <is>
          <t>Notes</t>
        </is>
      </c>
      <c r="H11" s="30" t="inlineStr"/>
    </row>
    <row r="12">
      <c r="A12" s="52" t="inlineStr">
        <is>
          <t>Microservice P0 Discovery</t>
        </is>
      </c>
      <c r="B12" s="53" t="n">
        <v>5</v>
      </c>
      <c r="C12" s="54" t="n">
        <v>56</v>
      </c>
      <c r="D12" s="54" t="n">
        <v>104</v>
      </c>
      <c r="E12" s="54" t="n">
        <v>176</v>
      </c>
      <c r="F12" s="54">
        <f>ROUND((C12+4*D12+E12)/6,1)</f>
        <v/>
      </c>
      <c r="G12" s="84" t="inlineStr">
        <is>
          <t>Vendor, architecture, identity, policy workshop</t>
        </is>
      </c>
      <c r="H12" s="32" t="n"/>
    </row>
    <row r="13">
      <c r="A13" s="55" t="inlineStr">
        <is>
          <t>Microservice P1 MVP</t>
        </is>
      </c>
      <c r="B13" s="56" t="n">
        <v>33</v>
      </c>
      <c r="C13" s="57" t="n">
        <v>356</v>
      </c>
      <c r="D13" s="57" t="n">
        <v>600</v>
      </c>
      <c r="E13" s="57" t="n">
        <v>976</v>
      </c>
      <c r="F13" s="57">
        <f>ROUND((C13+4*D13+E13)/6,1)</f>
        <v/>
      </c>
      <c r="G13" s="85" t="inlineStr">
        <is>
          <t>Service, Veriff, lock, admin, CS/fraud/warehouse ops</t>
        </is>
      </c>
      <c r="H13" s="38" t="n"/>
    </row>
    <row r="14">
      <c r="A14" s="58" t="inlineStr">
        <is>
          <t>Microservice P2 Expand</t>
        </is>
      </c>
      <c r="B14" s="59" t="n">
        <v>7</v>
      </c>
      <c r="C14" s="60" t="n">
        <v>80</v>
      </c>
      <c r="D14" s="60" t="n">
        <v>136</v>
      </c>
      <c r="E14" s="60" t="n">
        <v>224</v>
      </c>
      <c r="F14" s="60">
        <f>ROUND((C14+4*D14+E14)/6,1)</f>
        <v/>
      </c>
      <c r="G14" s="86" t="inlineStr">
        <is>
          <t>Pre-enroll, medium band, FaceBlock, analytics</t>
        </is>
      </c>
      <c r="H14" s="44" t="n"/>
    </row>
    <row r="15">
      <c r="A15" s="61" t="inlineStr">
        <is>
          <t>Microservice P3 Harden</t>
        </is>
      </c>
      <c r="B15" s="62" t="n">
        <v>5</v>
      </c>
      <c r="C15" s="63" t="n">
        <v>60</v>
      </c>
      <c r="D15" s="63" t="n">
        <v>108</v>
      </c>
      <c r="E15" s="63" t="n">
        <v>176</v>
      </c>
      <c r="F15" s="63">
        <f>ROUND((C15+4*D15+E15)/6,1)</f>
        <v/>
      </c>
      <c r="G15" s="87" t="inlineStr">
        <is>
          <t>IDV enrollment, name match, DSR, DR</t>
        </is>
      </c>
      <c r="H15" s="47" t="n"/>
    </row>
    <row r="16">
      <c r="A16" s="52" t="inlineStr">
        <is>
          <t>Brand sites P0 Discovery</t>
        </is>
      </c>
      <c r="B16" s="53" t="n">
        <v>2</v>
      </c>
      <c r="C16" s="54" t="n">
        <v>16</v>
      </c>
      <c r="D16" s="54" t="n">
        <v>28</v>
      </c>
      <c r="E16" s="54" t="n">
        <v>44</v>
      </c>
      <c r="F16" s="54">
        <f>ROUND((C16+4*D16+E16)/6,1)</f>
        <v/>
      </c>
      <c r="G16" s="84" t="inlineStr">
        <is>
          <t>Journey mapping + T&amp;Cs (first brand)</t>
        </is>
      </c>
      <c r="H16" s="32" t="n"/>
    </row>
    <row r="17">
      <c r="A17" s="55" t="inlineStr">
        <is>
          <t>Brand sites P1 MVP (first brand)</t>
        </is>
      </c>
      <c r="B17" s="56" t="n">
        <v>16</v>
      </c>
      <c r="C17" s="57" t="n">
        <v>168</v>
      </c>
      <c r="D17" s="57" t="n">
        <v>300</v>
      </c>
      <c r="E17" s="57" t="n">
        <v>476</v>
      </c>
      <c r="F17" s="57">
        <f>ROUND((C17+4*D17+E17)/6,1)</f>
        <v/>
      </c>
      <c r="G17" s="85" t="inlineStr">
        <is>
          <t>Shared kit + first website UX/QA (excludes extra-brand unit)</t>
        </is>
      </c>
      <c r="H17" s="38" t="n"/>
    </row>
    <row r="18">
      <c r="A18" s="58" t="inlineStr">
        <is>
          <t>Brand sites P2 Expand (first brand)</t>
        </is>
      </c>
      <c r="B18" s="59" t="n">
        <v>3</v>
      </c>
      <c r="C18" s="60" t="n">
        <v>24</v>
      </c>
      <c r="D18" s="60" t="n">
        <v>44</v>
      </c>
      <c r="E18" s="60" t="n">
        <v>72</v>
      </c>
      <c r="F18" s="60">
        <f>ROUND((C18+4*D18+E18)/6,1)</f>
        <v/>
      </c>
      <c r="G18" s="86" t="inlineStr">
        <is>
          <t>Pre-enroll CTA, medium UI, theming</t>
        </is>
      </c>
      <c r="H18" s="44" t="n"/>
    </row>
    <row r="19">
      <c r="A19" s="61" t="inlineStr">
        <is>
          <t>Brand sites P3 Harden (first brand)</t>
        </is>
      </c>
      <c r="B19" s="62" t="n">
        <v>2</v>
      </c>
      <c r="C19" s="63" t="n">
        <v>24</v>
      </c>
      <c r="D19" s="63" t="n">
        <v>44</v>
      </c>
      <c r="E19" s="63" t="n">
        <v>72</v>
      </c>
      <c r="F19" s="63">
        <f>ROUND((C19+4*D19+E19)/6,1)</f>
        <v/>
      </c>
      <c r="G19" s="87" t="inlineStr">
        <is>
          <t>IDV UX, step-up login</t>
        </is>
      </c>
      <c r="H19" s="47" t="n"/>
    </row>
    <row r="20">
      <c r="A20" s="55" t="inlineStr">
        <is>
          <t>UNIT extra brand (P1 ops+eng)</t>
        </is>
      </c>
      <c r="B20" s="56" t="n">
        <v>2</v>
      </c>
      <c r="C20" s="57" t="n">
        <v>20</v>
      </c>
      <c r="D20" s="57" t="n">
        <v>40</v>
      </c>
      <c r="E20" s="57" t="n">
        <v>64</v>
      </c>
      <c r="F20" s="57">
        <f>ROUND((C20+4*D20+E20)/6,1)</f>
        <v/>
      </c>
      <c r="G20" s="85" t="inlineStr">
        <is>
          <t>Multiply by (N − 1). Wire-up + CS checklist.</t>
        </is>
      </c>
      <c r="H20" s="38" t="n"/>
    </row>
    <row r="22">
      <c r="A22" s="80" t="inlineStr">
        <is>
          <t>SCALED TOTALS (formulas use B6 brand count and B7/B8 flags)</t>
        </is>
      </c>
      <c r="B22" s="81" t="n"/>
      <c r="C22" s="81" t="n"/>
      <c r="D22" s="81" t="n"/>
      <c r="E22" s="81" t="n"/>
      <c r="F22" s="81" t="n"/>
      <c r="G22" s="81" t="n"/>
      <c r="H22" s="81" t="n"/>
    </row>
    <row r="23" ht="24" customHeight="1">
      <c r="A23" s="30" t="inlineStr">
        <is>
          <t>Package</t>
        </is>
      </c>
      <c r="B23" s="30" t="inlineStr">
        <is>
          <t>How it is calculated</t>
        </is>
      </c>
      <c r="C23" s="30" t="inlineStr">
        <is>
          <t>Min (hrs)</t>
        </is>
      </c>
      <c r="D23" s="30" t="inlineStr">
        <is>
          <t>Mid (hrs)</t>
        </is>
      </c>
      <c r="E23" s="30" t="inlineStr">
        <is>
          <t>Max (hrs)</t>
        </is>
      </c>
      <c r="F23" s="30" t="inlineStr">
        <is>
          <t>Expected PERT (hrs)</t>
        </is>
      </c>
      <c r="G23" s="30" t="inlineStr">
        <is>
          <t>Person-weeks (PERT / 32h)</t>
        </is>
      </c>
      <c r="H23" s="30" t="inlineStr">
        <is>
          <t>Use for</t>
        </is>
      </c>
    </row>
    <row r="24" ht="48" customHeight="1">
      <c r="A24" s="88" t="inlineStr">
        <is>
          <t>MVP (P0+P1) — recommended start</t>
        </is>
      </c>
      <c r="B24" s="89" t="inlineStr">
        <is>
          <t>MS P0+P1 + Brand P0+P1 + extra brands × unit</t>
        </is>
      </c>
      <c r="C24" s="90">
        <f>C12+C13+C16+C17+MAX(0,$B$6-1)*C20</f>
        <v/>
      </c>
      <c r="D24" s="90">
        <f>D12+D13+D16+D17+MAX(0,$B$6-1)*D20</f>
        <v/>
      </c>
      <c r="E24" s="90">
        <f>E12+E13+E16+E17+MAX(0,$B$6-1)*E20</f>
        <v/>
      </c>
      <c r="F24" s="90">
        <f>ROUND((C24+4*D24+E24)/6,1)</f>
        <v/>
      </c>
      <c r="G24" s="90">
        <f>ROUND(F24/32,1)</f>
        <v/>
      </c>
      <c r="H24" s="89" t="inlineStr">
        <is>
          <t>SOW / sprint-0 proposal. Physical + high-value digital only.</t>
        </is>
      </c>
    </row>
    <row r="25" ht="48" customHeight="1">
      <c r="A25" s="91" t="inlineStr">
        <is>
          <t>P2 increment</t>
        </is>
      </c>
      <c r="B25" s="92" t="inlineStr">
        <is>
          <t>MS P2 + Brand P2 (first brand; extra brand P2 not separately unit-costed — absorb in extra-brand max)</t>
        </is>
      </c>
      <c r="C25" s="93">
        <f>C14+C18</f>
        <v/>
      </c>
      <c r="D25" s="93">
        <f>D14+D18</f>
        <v/>
      </c>
      <c r="E25" s="93">
        <f>E14+E18</f>
        <v/>
      </c>
      <c r="F25" s="93">
        <f>ROUND((C25+4*D25+E25)/6,1)</f>
        <v/>
      </c>
      <c r="G25" s="93">
        <f>ROUND(F25/32,1)</f>
        <v/>
      </c>
      <c r="H25" s="92" t="inlineStr">
        <is>
          <t>After MVP metrics: medium vouchers + pre-enroll.</t>
        </is>
      </c>
    </row>
    <row r="26" ht="48" customHeight="1">
      <c r="A26" s="94" t="inlineStr">
        <is>
          <t>P3 increment</t>
        </is>
      </c>
      <c r="B26" s="95" t="inlineStr">
        <is>
          <t>MS P3 + Brand P3</t>
        </is>
      </c>
      <c r="C26" s="96">
        <f>C15+C19</f>
        <v/>
      </c>
      <c r="D26" s="96">
        <f>D15+D19</f>
        <v/>
      </c>
      <c r="E26" s="96">
        <f>E15+E19</f>
        <v/>
      </c>
      <c r="F26" s="96">
        <f>ROUND((C26+4*D26+E26)/6,1)</f>
        <v/>
      </c>
      <c r="G26" s="96">
        <f>ROUND(F26/32,1)</f>
        <v/>
      </c>
      <c r="H26" s="95" t="inlineStr">
        <is>
          <t>Stronger legit-winner bind (IDV + name match).</t>
        </is>
      </c>
    </row>
    <row r="27" ht="48" customHeight="1">
      <c r="A27" s="97" t="inlineStr">
        <is>
          <t>Full recommended (flags in B7/B8)</t>
        </is>
      </c>
      <c r="B27" s="98" t="inlineStr">
        <is>
          <t>MVP + P2 if Yes + P3 if Yes</t>
        </is>
      </c>
      <c r="C27" s="99">
        <f>C24+IF(B7="Yes",C25,0)+IF(B8="Yes",C26,0)</f>
        <v/>
      </c>
      <c r="D27" s="99">
        <f>D24+IF(B7="Yes",D25,0)+IF(B8="Yes",D26,0)</f>
        <v/>
      </c>
      <c r="E27" s="99">
        <f>E24+IF(B7="Yes",E25,0)+IF(B8="Yes",E26,0)</f>
        <v/>
      </c>
      <c r="F27" s="99">
        <f>ROUND((C27+4*D27+E27)/6,1)</f>
        <v/>
      </c>
      <c r="G27" s="99">
        <f>ROUND(F27/32,1)</f>
        <v/>
      </c>
      <c r="H27" s="100" t="inlineStr">
        <is>
          <t>Upper planning envelope if all phases are approved.</t>
        </is>
      </c>
    </row>
    <row r="29">
      <c r="A29" s="21" t="inlineStr">
        <is>
          <t>MVP mix (Mid hrs, first 2 brands default) — illustration</t>
        </is>
      </c>
    </row>
    <row r="30">
      <c r="A30" s="101" t="inlineStr">
        <is>
          <t>Microservice P0+P1</t>
        </is>
      </c>
      <c r="B30" s="102">
        <f>D12+D13</f>
        <v/>
      </c>
    </row>
    <row r="31">
      <c r="A31" s="101" t="inlineStr">
        <is>
          <t>Brand kit + first site P0+P1</t>
        </is>
      </c>
      <c r="B31" s="102">
        <f>D16+D17</f>
        <v/>
      </c>
    </row>
    <row r="32">
      <c r="A32" s="101" t="inlineStr">
        <is>
          <t>Extra brands (N-1)×unit</t>
        </is>
      </c>
      <c r="B32" s="102">
        <f>MAX(0,$B$6-1)*D20</f>
        <v/>
      </c>
    </row>
    <row r="40">
      <c r="A40" s="21" t="inlineStr">
        <is>
          <t>Planning notes</t>
        </is>
      </c>
    </row>
    <row r="41" ht="32" customHeight="1">
      <c r="A41" s="9" t="inlineStr">
        <is>
          <t>• Person-weeks use 32 productive hours/week (meetings, env waits, vendor). Calendar elapsed time is longer (legal, Veriff SE, 3PL, sequential UAT).</t>
        </is>
      </c>
    </row>
    <row r="42" ht="32" customHeight="1">
      <c r="A42" s="9" t="inlineStr">
        <is>
          <t>• Do not start Tab 2 pixel-perfect UX until P0 identity + threshold table are signed — otherwise enrollment vs auth branching will be rebuilt.</t>
        </is>
      </c>
    </row>
    <row r="43" ht="32" customHeight="1">
      <c r="A43" s="9" t="inlineStr">
        <is>
          <t>• If native apps are in scope, add a separate delta (Veriff iOS/Android SDKs, review, camera permissions) — not in these hours.</t>
        </is>
      </c>
    </row>
    <row r="44" ht="32" customHeight="1">
      <c r="A44" s="9" t="inlineStr">
        <is>
          <t>• If IDV is mandated for MVP physical prizes, add Microservice P3 IDV + Brand P3 IDV UX into the MVP package (use Max or pull those two rows forward).</t>
        </is>
      </c>
    </row>
    <row r="45" ht="32" customHeight="1">
      <c r="A45" s="9" t="inlineStr">
        <is>
          <t>• Veriff session fees are OPEX, not in these hours. Finance should compare fee × expected gated winners vs current fraud loss on physical/high-value.</t>
        </is>
      </c>
    </row>
  </sheetData>
  <mergeCells count="23">
    <mergeCell ref="G12:H12"/>
    <mergeCell ref="A1:H1"/>
    <mergeCell ref="A45:H45"/>
    <mergeCell ref="G17:H17"/>
    <mergeCell ref="A5:C5"/>
    <mergeCell ref="G19:H19"/>
    <mergeCell ref="A41:H41"/>
    <mergeCell ref="C8:H8"/>
    <mergeCell ref="G13:H13"/>
    <mergeCell ref="G18:H18"/>
    <mergeCell ref="C7:H7"/>
    <mergeCell ref="A3:H3"/>
    <mergeCell ref="G15:H15"/>
    <mergeCell ref="A2:H2"/>
    <mergeCell ref="A42:H42"/>
    <mergeCell ref="G14:H14"/>
    <mergeCell ref="A22:H22"/>
    <mergeCell ref="C6:H6"/>
    <mergeCell ref="G20:H20"/>
    <mergeCell ref="G16:H16"/>
    <mergeCell ref="A43:H43"/>
    <mergeCell ref="A10:H10"/>
    <mergeCell ref="A44:H44"/>
  </mergeCells>
  <dataValidations count="2">
    <dataValidation sqref="B6" showDropDown="0" showInputMessage="0" showErrorMessage="0" allowBlank="0" type="whole" operator="greaterThan">
      <formula1>0</formula1>
    </dataValidation>
    <dataValidation sqref="B7 B8" showDropDown="0" showInputMessage="0" showErrorMessage="0" allowBlank="0" type="list">
      <formula1>"Yes,No"</formula1>
    </dataValidation>
  </dataValidations>
  <pageMargins left="0.4" right="0.4" top="0.5" bottom="0.5" header="0.5" footer="0.5"/>
  <pageSetup orientation="landscape" paperSize="9" fitToHeight="0" fitToWidth="1"/>
  <headerFooter>
    <oddHeader>&amp;LVeriff Biometric Auth — Rewards Redemption Estimation</oddHeader>
    <oddFooter>&amp;LConfidential | Solution architecture estimate | Not a statement of work&amp;RPage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55" customWidth="1" min="4" max="4"/>
    <col width="48" customWidth="1" min="5" max="5"/>
    <col width="52" customWidth="1" min="6" max="6"/>
    <col width="12" customWidth="1" min="7" max="7"/>
  </cols>
  <sheetData>
    <row r="1" ht="28" customHeight="1">
      <c r="A1" s="1" t="inlineStr">
        <is>
          <t>Recommended process / decision flow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3" t="inlineStr">
        <is>
          <t>Use this as the estimation workshop script and later as epic/user-story backbone. Webhook is the only fulfill signal. Unenrolled users are a designed branch.</t>
        </is>
      </c>
      <c r="B2" s="4" t="n"/>
      <c r="C2" s="4" t="n"/>
      <c r="D2" s="4" t="n"/>
      <c r="E2" s="4" t="n"/>
      <c r="F2" s="4" t="n"/>
      <c r="G2" s="4" t="n"/>
    </row>
    <row r="3" ht="48" customHeight="1">
      <c r="A3" s="5" t="inlineStr">
        <is>
          <t>Actors: Website (brand), Microservice (policy + Veriff + lock), Veriff, User, Warehouse/voucher issuer, CS/Fraud ops. MVP applies this flow only when policy says bio required (physical + high-value digital). Small vouchers skip to existing fulfill after step 2 = NO.</t>
        </is>
      </c>
      <c r="B3" s="6" t="n"/>
      <c r="C3" s="6" t="n"/>
      <c r="D3" s="6" t="n"/>
      <c r="E3" s="6" t="n"/>
      <c r="F3" s="6" t="n"/>
      <c r="G3" s="6" t="n"/>
    </row>
    <row r="5" ht="24" customHeight="1">
      <c r="A5" s="30" t="inlineStr">
        <is>
          <t>Step</t>
        </is>
      </c>
      <c r="B5" s="30" t="inlineStr">
        <is>
          <t>Control type</t>
        </is>
      </c>
      <c r="C5" s="30" t="inlineStr">
        <is>
          <t>Actor</t>
        </is>
      </c>
      <c r="D5" s="30" t="inlineStr">
        <is>
          <t>Process / decision</t>
        </is>
      </c>
      <c r="E5" s="30" t="inlineStr">
        <is>
          <t>If Yes / Success</t>
        </is>
      </c>
      <c r="F5" s="30" t="inlineStr">
        <is>
          <t>If No / Fail / Else</t>
        </is>
      </c>
      <c r="G5" s="30" t="inlineStr">
        <is>
          <t>Phase</t>
        </is>
      </c>
    </row>
    <row r="6" ht="78" customHeight="1">
      <c r="A6" s="103" t="inlineStr">
        <is>
          <t>0</t>
        </is>
      </c>
      <c r="B6" s="104" t="inlineStr">
        <is>
          <t>All</t>
        </is>
      </c>
      <c r="C6" s="15" t="inlineStr">
        <is>
          <t>User, Website</t>
        </is>
      </c>
      <c r="D6" s="15" t="inlineStr">
        <is>
          <t>User opens claim for a reward</t>
        </is>
      </c>
      <c r="E6" s="15" t="inlineStr">
        <is>
          <t>Continue to account check</t>
        </is>
      </c>
      <c r="F6" s="15" t="inlineStr">
        <is>
          <t>—</t>
        </is>
      </c>
      <c r="G6" s="105" t="inlineStr">
        <is>
          <t>P1</t>
        </is>
      </c>
    </row>
    <row r="7" ht="78" customHeight="1">
      <c r="A7" s="103" t="inlineStr">
        <is>
          <t>1</t>
        </is>
      </c>
      <c r="B7" s="106" t="inlineStr">
        <is>
          <t>Control</t>
        </is>
      </c>
      <c r="C7" s="13" t="inlineStr">
        <is>
          <t>Website + existing auth</t>
        </is>
      </c>
      <c r="D7" s="13" t="inlineStr">
        <is>
          <t>Is the user logged in as the winning account (claim token bound to user_id)?</t>
        </is>
      </c>
      <c r="E7" s="13" t="inlineStr">
        <is>
          <t>Continue. Optionally step-up OTP for high-value/physical.</t>
        </is>
      </c>
      <c r="F7" s="13" t="inlineStr">
        <is>
          <t>Force login / recovery. Do NOT start Veriff. Do NOT show voucher or address form. A forwarded email must fail.</t>
        </is>
      </c>
      <c r="G7" s="105" t="inlineStr">
        <is>
          <t>P1</t>
        </is>
      </c>
    </row>
    <row r="8" ht="78" customHeight="1">
      <c r="A8" s="103" t="inlineStr">
        <is>
          <t>2</t>
        </is>
      </c>
      <c r="B8" s="104" t="inlineStr">
        <is>
          <t>Policy</t>
        </is>
      </c>
      <c r="C8" s="15" t="inlineStr">
        <is>
          <t>Microservice policy engine</t>
        </is>
      </c>
      <c r="D8" s="15" t="inlineStr">
        <is>
          <t>Load prize type, face value, currency, brand. Is biometric step-up required?</t>
        </is>
      </c>
      <c r="E8" s="15" t="inlineStr">
        <is>
          <t>Physical: YES. Digital &gt;= High threshold: YES (MVP). Digital medium: YES in P2. Digital small: NO.</t>
        </is>
      </c>
      <c r="F8" s="15" t="inlineStr">
        <is>
          <t>If NO: fulfill with existing controls (account session, rate limits). Do not call Veriff (cost/conversion).</t>
        </is>
      </c>
      <c r="G8" s="105" t="inlineStr">
        <is>
          <t>P1</t>
        </is>
      </c>
    </row>
    <row r="9" ht="78" customHeight="1">
      <c r="A9" s="103" t="inlineStr">
        <is>
          <t>3</t>
        </is>
      </c>
      <c r="B9" s="106" t="inlineStr">
        <is>
          <t>Consent</t>
        </is>
      </c>
      <c r="C9" s="13" t="inlineStr">
        <is>
          <t>Website + Microservice</t>
        </is>
      </c>
      <c r="D9" s="13" t="inlineStr">
        <is>
          <t>Has the user accepted current biometric consent / privacy version for this purpose?</t>
        </is>
      </c>
      <c r="E9" s="13" t="inlineStr">
        <is>
          <t>Record consent ledger (timestamp, version, brand, locale).</t>
        </is>
      </c>
      <c r="F9" s="13" t="inlineStr">
        <is>
          <t>Show consent. If refused: hold prize until claim SLA then forfeit (or offer ungated substitute if policy allows). No camera.</t>
        </is>
      </c>
      <c r="G9" s="105" t="inlineStr">
        <is>
          <t>P1</t>
        </is>
      </c>
    </row>
    <row r="10" ht="78" customHeight="1">
      <c r="A10" s="103" t="inlineStr">
        <is>
          <t>4</t>
        </is>
      </c>
      <c r="B10" s="107" t="inlineStr">
        <is>
          <t>Enrollment status</t>
        </is>
      </c>
      <c r="C10" s="108" t="inlineStr">
        <is>
          <t>Microservice</t>
        </is>
      </c>
      <c r="D10" s="108" t="inlineStr">
        <is>
          <t>Does this endUserId have an approved Veriff enrollment (reference template exists)?</t>
        </is>
      </c>
      <c r="E10" s="108" t="inlineStr">
        <is>
          <t>Go to AUTHENTICATION path (step 8).</t>
        </is>
      </c>
      <c r="F10" s="108" t="inlineStr">
        <is>
          <t>Go to ENROLLMENT path (step 5). Do not create an auth session (avoids decline 122 'no reference').</t>
        </is>
      </c>
      <c r="G10" s="105" t="inlineStr">
        <is>
          <t>P1</t>
        </is>
      </c>
    </row>
    <row r="11" ht="78" customHeight="1">
      <c r="A11" s="103" t="inlineStr">
        <is>
          <t>5</t>
        </is>
      </c>
      <c r="B11" s="106" t="inlineStr">
        <is>
          <t>Enrollment readiness</t>
        </is>
      </c>
      <c r="C11" s="13" t="inlineStr">
        <is>
          <t>Website</t>
        </is>
      </c>
      <c r="D11" s="13" t="inlineStr">
        <is>
          <t>Can this device complete a camera flow (HTTPS, camera, supported browser)?</t>
        </is>
      </c>
      <c r="E11" s="13" t="inlineStr">
        <is>
          <t>Create ENROLLMENT session via microservice (Veriff enrollment integration).</t>
        </is>
      </c>
      <c r="F11" s="13" t="inlineStr">
        <is>
          <t>Offer: switch device/browser, or Exception queue (disability / no camera). No silent skip for physical/high-value.</t>
        </is>
      </c>
      <c r="G11" s="105" t="inlineStr">
        <is>
          <t>P1</t>
        </is>
      </c>
    </row>
    <row r="12" ht="78" customHeight="1">
      <c r="A12" s="103" t="inlineStr">
        <is>
          <t>6</t>
        </is>
      </c>
      <c r="B12" s="104" t="inlineStr">
        <is>
          <t>Enrollment capture</t>
        </is>
      </c>
      <c r="C12" s="15" t="inlineStr">
        <is>
          <t>User + Veriff</t>
        </is>
      </c>
      <c r="D12" s="15" t="inlineStr">
        <is>
          <t>User completes enrollment: MVP selfie-only (minimum) OR Document+Selfie IDV (recommended for physical / top-tier, P3 or pull-forward).</t>
        </is>
      </c>
      <c r="E12" s="15" t="inlineStr">
        <is>
          <t>Veriff returns decision via WEBHOOK (source of truth). Frontend callback only refreshes status.</t>
        </is>
      </c>
      <c r="F12" s="15" t="inlineStr">
        <is>
          <t>User abandons: session → abandoned/expired; allow new session until claim SLA.</t>
        </is>
      </c>
      <c r="G12" s="105" t="inlineStr">
        <is>
          <t>P1</t>
        </is>
      </c>
    </row>
    <row r="13" ht="78" customHeight="1">
      <c r="A13" s="103" t="inlineStr">
        <is>
          <t>7</t>
        </is>
      </c>
      <c r="B13" s="106" t="inlineStr">
        <is>
          <t>Enrollment decision</t>
        </is>
      </c>
      <c r="C13" s="13" t="inlineStr">
        <is>
          <t>Microservice webhook</t>
        </is>
      </c>
      <c r="D13" s="13" t="inlineStr">
        <is>
          <t>Enrollment verification.status?</t>
        </is>
      </c>
      <c r="E13" s="13" t="inlineStr">
        <is>
          <t>approved: mark Enrolled; for THIS sitting, identity captured → FULFILL GATE (step 11). Do not charge a second auth session immediately. declined quality: retry. declined 105/106/fraud: FREEZE + fraud ops. review/pending: wait.</t>
        </is>
      </c>
      <c r="F13" s="13" t="inlineStr">
        <is>
          <t>Never fulfill on 'session created' or on redirect back to the site.</t>
        </is>
      </c>
      <c r="G13" s="105" t="inlineStr">
        <is>
          <t>P1</t>
        </is>
      </c>
    </row>
    <row r="14" ht="78" customHeight="1">
      <c r="A14" s="103" t="inlineStr">
        <is>
          <t>8</t>
        </is>
      </c>
      <c r="B14" s="104" t="inlineStr">
        <is>
          <t>Authentication start</t>
        </is>
      </c>
      <c r="C14" s="15" t="inlineStr">
        <is>
          <t>Microservice</t>
        </is>
      </c>
      <c r="D14" s="15" t="inlineStr">
        <is>
          <t>Create AUTH session on the authentication integration with the SAME endUserId/vendorData and bind to this reward_id / attempt_id.</t>
        </is>
      </c>
      <c r="E14" s="15" t="inlineStr">
        <is>
          <t>Return session URL to website. One active session per reward.</t>
        </is>
      </c>
      <c r="F14" s="15" t="inlineStr">
        <is>
          <t>If vendorData/endUserId would not match enrollment, stop (prevent 121/128). Repair identity mapping.</t>
        </is>
      </c>
      <c r="G14" s="105" t="inlineStr">
        <is>
          <t>P1</t>
        </is>
      </c>
    </row>
    <row r="15" ht="78" customHeight="1">
      <c r="A15" s="103" t="inlineStr">
        <is>
          <t>9</t>
        </is>
      </c>
      <c r="B15" s="106" t="inlineStr">
        <is>
          <t>Authentication capture</t>
        </is>
      </c>
      <c r="C15" s="13" t="inlineStr">
        <is>
          <t>User + Veriff</t>
        </is>
      </c>
      <c r="D15" s="13" t="inlineStr">
        <is>
          <t>User takes live selfie (liveness + anti-spoof). Session auto-submits via SDK.</t>
        </is>
      </c>
      <c r="E15" s="13" t="inlineStr">
        <is>
          <t>Wait for webhook / poll.</t>
        </is>
      </c>
      <c r="F15" s="13" t="inlineStr">
        <is>
          <t>Abandoned/expired: new session, retry limits apply.</t>
        </is>
      </c>
      <c r="G15" s="105" t="inlineStr">
        <is>
          <t>P1</t>
        </is>
      </c>
    </row>
    <row r="16" ht="78" customHeight="1">
      <c r="A16" s="103" t="inlineStr">
        <is>
          <t>10</t>
        </is>
      </c>
      <c r="B16" s="104" t="inlineStr">
        <is>
          <t>Authentication decision</t>
        </is>
      </c>
      <c r="C16" s="15" t="inlineStr">
        <is>
          <t>Microservice webhook</t>
        </is>
      </c>
      <c r="D16" s="15" t="inlineStr">
        <is>
          <t>Auth status + biometricAuthentication.matchedSessionEndUserId == winner endUserId?</t>
        </is>
      </c>
      <c r="E16" s="15" t="inlineStr">
        <is>
          <t>approved + match: FULFILL GATE. declined 120 mismatch: FREEZE (third party / ATO). 105/106: FREEZE fraud. 122: treat as unenrolled. 121/128: incident, do not fulfill. quality: retry.</t>
        </is>
      </c>
      <c r="F16" s="15" t="inlineStr">
        <is>
          <t>No fulfill. CS sees generic failure; ops sees codes.</t>
        </is>
      </c>
      <c r="G16" s="105" t="inlineStr">
        <is>
          <t>P1</t>
        </is>
      </c>
    </row>
    <row r="17" ht="78" customHeight="1">
      <c r="A17" s="103" t="inlineStr">
        <is>
          <t>11</t>
        </is>
      </c>
      <c r="B17" s="109" t="inlineStr">
        <is>
          <t>Fulfill gate</t>
        </is>
      </c>
      <c r="C17" s="14" t="inlineStr">
        <is>
          <t>Microservice lock</t>
        </is>
      </c>
      <c r="D17" s="14" t="inlineStr">
        <is>
          <t>Is reward still unfulfilled and still assigned to this user (atomic lock)?</t>
        </is>
      </c>
      <c r="E17" s="14" t="inlineStr">
        <is>
          <t>Yes: branch by prize type (12a/12b).</t>
        </is>
      </c>
      <c r="F17" s="14" t="inlineStr">
        <is>
          <t>Already fulfilled or reassigned: ignore webhook, alert. This prevents double win.</t>
        </is>
      </c>
      <c r="G17" s="105" t="inlineStr">
        <is>
          <t>P1</t>
        </is>
      </c>
    </row>
    <row r="18" ht="78" customHeight="1">
      <c r="A18" s="103" t="inlineStr">
        <is>
          <t>12a</t>
        </is>
      </c>
      <c r="B18" s="109" t="inlineStr">
        <is>
          <t>Physical fulfill</t>
        </is>
      </c>
      <c r="C18" s="14" t="inlineStr">
        <is>
          <t>Microservice + WMS + User</t>
        </is>
      </c>
      <c r="D18" s="14" t="inlineStr">
        <is>
          <t>Capture/confirm shipping address AFTER approval. Optional P3: IDV name vs recipient name. Emit RELEASE_TO_SHIP with bio sessionId on the packing record.</t>
        </is>
      </c>
      <c r="E18" s="14" t="inlineStr">
        <is>
          <t>Warehouse ships. Notify winner. Audit.</t>
        </is>
      </c>
      <c r="F18" s="14" t="inlineStr">
        <is>
          <t>Name/address mismatch or fraud freeze: do not ship; ops case. Default-deny at 3PL if bio flag missing.</t>
        </is>
      </c>
      <c r="G18" s="105" t="inlineStr">
        <is>
          <t>P1</t>
        </is>
      </c>
    </row>
    <row r="19" ht="78" customHeight="1">
      <c r="A19" s="103" t="inlineStr">
        <is>
          <t>12b</t>
        </is>
      </c>
      <c r="B19" s="109" t="inlineStr">
        <is>
          <t>Digital high-value fulfill</t>
        </is>
      </c>
      <c r="C19" s="14" t="inlineStr">
        <is>
          <t>Microservice + voucher issuer</t>
        </is>
      </c>
      <c r="D19" s="14" t="inlineStr">
        <is>
          <t>Generate/reveal voucher once to this account. Email only after Approved. Mark irre-issuable.</t>
        </is>
      </c>
      <c r="E19" s="14" t="inlineStr">
        <is>
          <t>User sees code in authenticated page.</t>
        </is>
      </c>
      <c r="F19" s="14" t="inlineStr">
        <is>
          <t>Issuer failure: keep Approved, retry issue, do not require another selfie. Do not email codes from the original 'you won' template.</t>
        </is>
      </c>
      <c r="G19" s="105" t="inlineStr">
        <is>
          <t>P1</t>
        </is>
      </c>
    </row>
    <row r="20" ht="78" customHeight="1">
      <c r="A20" s="103" t="inlineStr">
        <is>
          <t>13</t>
        </is>
      </c>
      <c r="B20" s="110" t="inlineStr">
        <is>
          <t>Fraud freeze</t>
        </is>
      </c>
      <c r="C20" s="111" t="inlineStr">
        <is>
          <t>Fraud ops</t>
        </is>
      </c>
      <c r="D20" s="111" t="inlineStr">
        <is>
          <t>Mismatch / known fraud / velocity hit.</t>
        </is>
      </c>
      <c r="E20" s="111" t="inlineStr">
        <is>
          <t>Prize remains held. Investigate. Outcomes: forfeit, fulfill after dual-control (rare), FaceBlock (P2).</t>
        </is>
      </c>
      <c r="F20" s="111" t="inlineStr">
        <is>
          <t>CS cannot override a fraud freeze alone.</t>
        </is>
      </c>
      <c r="G20" s="105" t="inlineStr">
        <is>
          <t>P1</t>
        </is>
      </c>
    </row>
    <row r="21" ht="78" customHeight="1">
      <c r="A21" s="103" t="inlineStr">
        <is>
          <t>14</t>
        </is>
      </c>
      <c r="B21" s="106" t="inlineStr">
        <is>
          <t>Exception queue</t>
        </is>
      </c>
      <c r="C21" s="13" t="inlineStr">
        <is>
          <t>CS + authorised approver</t>
        </is>
      </c>
      <c r="D21" s="13" t="inlineStr">
        <is>
          <t>No camera, disability, Veriff outage beyond SLA, coverage gap.</t>
        </is>
      </c>
      <c r="E21" s="13" t="inlineStr">
        <is>
          <t>Documented alternative (manual ID check, substitute ungated prize, extend SLA). Dual-control if releasing physical/high-value without Veriff approved.</t>
        </is>
      </c>
      <c r="F21" s="13" t="inlineStr">
        <is>
          <t>No undocumented skip. Record in admin console.</t>
        </is>
      </c>
      <c r="G21" s="105" t="inlineStr">
        <is>
          <t>P1</t>
        </is>
      </c>
    </row>
    <row r="22" ht="78" customHeight="1">
      <c r="A22" s="103" t="inlineStr">
        <is>
          <t>15</t>
        </is>
      </c>
      <c r="B22" s="104" t="inlineStr">
        <is>
          <t>Claim SLA expiry</t>
        </is>
      </c>
      <c r="C22" s="15" t="inlineStr">
        <is>
          <t>Microservice + ops</t>
        </is>
      </c>
      <c r="D22" s="15" t="inlineStr">
        <is>
          <t>Still not enrolled/approved when claim window ends?</t>
        </is>
      </c>
      <c r="E22" s="15" t="inlineStr">
        <is>
          <t>Forfeit (or redraw per policy). Release warehouse stock. Notify user.</t>
        </is>
      </c>
      <c r="F22" s="15" t="inlineStr">
        <is>
          <t>Do not silently fulfill. Do not keep holds forever.</t>
        </is>
      </c>
      <c r="G22" s="105" t="inlineStr">
        <is>
          <t>P1</t>
        </is>
      </c>
    </row>
    <row r="23" ht="78" customHeight="1">
      <c r="A23" s="103" t="inlineStr">
        <is>
          <t>16</t>
        </is>
      </c>
      <c r="B23" s="106" t="inlineStr">
        <is>
          <t>Veriff outage</t>
        </is>
      </c>
      <c r="C23" s="13" t="inlineStr">
        <is>
          <t>On-call</t>
        </is>
      </c>
      <c r="D23" s="13" t="inlineStr">
        <is>
          <t>Cannot create sessions or receive decisions.</t>
        </is>
      </c>
      <c r="E23" s="13" t="inlineStr">
        <is>
          <t>Keep gated prizes on HOLD. User messaging. Optional dual-control emergency policy. Never auto-skip bio.</t>
        </is>
      </c>
      <c r="F23" s="13" t="inlineStr">
        <is>
          <t>Small ungated vouchers continue.</t>
        </is>
      </c>
      <c r="G23" s="105" t="inlineStr">
        <is>
          <t>P1</t>
        </is>
      </c>
    </row>
    <row r="25" ht="32" customHeight="1">
      <c r="A25" s="70" t="inlineStr">
        <is>
          <t>Same-sitting rule: approved ENROLLMENT may unlock the current gated prize. A later prize for the same user uses AUTHENTICATION only. Do not run enroll+auth back-to-back for one prize (double Veriff fee, worse UX).</t>
        </is>
      </c>
    </row>
    <row r="27">
      <c r="A27" s="21" t="inlineStr">
        <is>
          <t>Mermaid (for Confluence / PR / workshop whiteboard) — also in the accompanying chat note</t>
        </is>
      </c>
    </row>
    <row r="28" ht="420" customHeight="1">
      <c r="A28" s="112" t="inlineStr">
        <is>
          <t xml:space="preserve">flowchart TD
  A[User claims reward] --&gt; B{Logged in as winning account?}
  B --&gt;|No| Z1[Login / recovery — no Veriff]
  B --&gt;|Yes| C{Policy: physical OR digital &gt;= High?}
  C --&gt;|No small voucher| Z2[Existing fulfill — no Veriff]
  C --&gt;|Yes gated| D{Biometric consent current?}
  D --&gt;|No| D1{Accepts consent?}
  D1 --&gt;|No| Z3[Hold until SLA then forfeit / substitute]
  D1 --&gt;|Yes| E
  D --&gt;|Yes| E{Approved enrollment exists?}
  E --&gt;|No| F{Camera / supported browser?}
  F --&gt;|No| X[Exception queue]
  F --&gt;|Yes| G[Create ENROLLMENT session]
  G --&gt; H{Enrollment webhook}
  H --&gt;|approved| K[Fulfill gate]
  H --&gt;|quality fail| G
  H --&gt;|fraud / mismatch| FZ[Fraud freeze]
  H --&gt;|abandon / expire| SLA{Claim SLA left?}
  SLA --&gt;|Yes| G
  SLA --&gt;|No| Z4[Forfeit]
  E --&gt;|Yes| I[Create AUTH session same endUserId]
  I --&gt; J{Auth webhook + matched user}
  J --&gt;|approved match| K
  J --&gt;|quality fail| I
  J --&gt;|122 no reference| E
  J --&gt;|120 / 105 / 106| FZ
  J --&gt;|abandon / expire| SLA2{Claim SLA left?}
  SLA2 --&gt;|Yes| I
  SLA2 --&gt;|No| Z4
  K{Atomic prize still free?}
  K --&gt;|No| Z5[Ignore — already fulfilled]
  K --&gt;|Yes physical| P[Address then WMS RELEASE_TO_SHIP]
  K --&gt;|Yes digital high| V[Issue voucher once then reveal]
</t>
        </is>
      </c>
    </row>
  </sheetData>
  <autoFilter ref="A5:G5"/>
  <mergeCells count="6">
    <mergeCell ref="A1:G1"/>
    <mergeCell ref="A27:G27"/>
    <mergeCell ref="A3:G3"/>
    <mergeCell ref="A2:G2"/>
    <mergeCell ref="A25:G25"/>
    <mergeCell ref="A28:G28"/>
  </mergeCells>
  <pageMargins left="0.4" right="0.4" top="0.5" bottom="0.5" header="0.5" footer="0.5"/>
  <pageSetup orientation="landscape" paperSize="9" fitToHeight="0" fitToWidth="1"/>
  <headerFooter>
    <oddHeader>&amp;LVeriff Biometric Auth — Rewards Redemption Estimation</oddHeader>
    <oddFooter>&amp;LConfidential | Solution architecture estimate | Not a statement of work&amp;RPage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2" customWidth="1" min="4" max="4"/>
  </cols>
  <sheetData>
    <row r="1" ht="28" customHeight="1">
      <c r="A1" s="1" t="inlineStr">
        <is>
          <t>Assumptions and risks</t>
        </is>
      </c>
      <c r="B1" s="2" t="n"/>
      <c r="C1" s="2" t="n"/>
      <c r="D1" s="2" t="n"/>
    </row>
    <row r="2" ht="36" customHeight="1">
      <c r="A2" s="3" t="inlineStr">
        <is>
          <t>If an assumption is false, re-estimate. Risks listed here are the ways a non-winner still gets the prize even after Veriff is integrated.</t>
        </is>
      </c>
      <c r="B2" s="4" t="n"/>
      <c r="C2" s="4" t="n"/>
      <c r="D2" s="4" t="n"/>
    </row>
    <row r="4">
      <c r="A4" s="22" t="inlineStr">
        <is>
          <t>Assumptions</t>
        </is>
      </c>
      <c r="B4" s="2" t="n"/>
      <c r="C4" s="2" t="n"/>
      <c r="D4" s="2" t="n"/>
    </row>
    <row r="5" ht="24" customHeight="1">
      <c r="A5" s="30" t="inlineStr">
        <is>
          <t>Theme</t>
        </is>
      </c>
      <c r="B5" s="30" t="inlineStr">
        <is>
          <t>Assumption</t>
        </is>
      </c>
      <c r="C5" s="113" t="n"/>
      <c r="D5" s="114" t="n"/>
    </row>
    <row r="6" ht="48" customHeight="1">
      <c r="A6" s="115" t="inlineStr">
        <is>
          <t>Scope</t>
        </is>
      </c>
      <c r="B6" s="15" t="inlineStr">
        <is>
          <t>MVP gates physical prizes and high-value digital vouchers only. Small-value digital vouchers stay on existing account controls because volume is high and Veriff per-session cost plus conversion drop usually exceeds fraud savings.</t>
        </is>
      </c>
      <c r="C6" s="116" t="n"/>
      <c r="D6" s="116" t="n"/>
    </row>
    <row r="7" ht="48" customHeight="1">
      <c r="A7" s="115" t="inlineStr">
        <is>
          <t>Architecture</t>
        </is>
      </c>
      <c r="B7" s="13" t="inlineStr">
        <is>
          <t>One Bio-Auth microservice owns Veriff keys, webhooks, policy, enrollment registry, and fulfillment unlock. Multiple brand websites integrate as clients. Websites never call Veriff directly.</t>
        </is>
      </c>
      <c r="C7" s="117" t="n"/>
      <c r="D7" s="117" t="n"/>
    </row>
    <row r="8" ht="48" customHeight="1">
      <c r="A8" s="115" t="inlineStr">
        <is>
          <t>Identity</t>
        </is>
      </c>
      <c r="B8" s="15" t="inlineStr">
        <is>
          <t>Gated prizes require a registered, authenticated winning account. Guest-link winners are out of MVP unless converted to an account before bio.</t>
        </is>
      </c>
      <c r="C8" s="116" t="n"/>
      <c r="D8" s="116" t="n"/>
    </row>
    <row r="9" ht="48" customHeight="1">
      <c r="A9" s="115" t="inlineStr">
        <is>
          <t>Enrollment</t>
        </is>
      </c>
      <c r="B9" s="13" t="inlineStr">
        <is>
          <t>Veriff biometric authentication cannot run without a prior approved enrollment. Unenrolled users are a first-class path (enroll-at-claim), not an error.</t>
        </is>
      </c>
      <c r="C9" s="117" t="n"/>
      <c r="D9" s="117" t="n"/>
    </row>
    <row r="10" ht="48" customHeight="1">
      <c r="A10" s="115" t="inlineStr">
        <is>
          <t>Strength</t>
        </is>
      </c>
      <c r="B10" s="15" t="inlineStr">
        <is>
          <t>Selfie-only enrollment proves returning-person match, not legal identity. If the account is already taken over, the thief enrolls their own face. IDV (document+selfie) is recommended for physical prizes and can be Phase 3 or pulled into MVP if ATO risk is high.</t>
        </is>
      </c>
      <c r="C10" s="116" t="n"/>
      <c r="D10" s="116" t="n"/>
    </row>
    <row r="11" ht="48" customHeight="1">
      <c r="A11" s="115" t="inlineStr">
        <is>
          <t>Source of truth</t>
        </is>
      </c>
      <c r="B11" s="13" t="inlineStr">
        <is>
          <t>Fulfillment is allowed only after a verified Veriff decision webhook (or poll of the same decision) AND an atomic prize lock. The Veriff frontend callback is not authorization.</t>
        </is>
      </c>
      <c r="C11" s="117" t="n"/>
      <c r="D11" s="117" t="n"/>
    </row>
    <row r="12" ht="48" customHeight="1">
      <c r="A12" s="115" t="inlineStr">
        <is>
          <t>Same-sitting</t>
        </is>
      </c>
      <c r="B12" s="15" t="inlineStr">
        <is>
          <t>A successful enrollment during claim may release that prize without an immediate second authentication session (saves vendor cost/UX). Subsequent redemptions require authentication.</t>
        </is>
      </c>
      <c r="C12" s="116" t="n"/>
      <c r="D12" s="116" t="n"/>
    </row>
    <row r="13" ht="48" customHeight="1">
      <c r="A13" s="115" t="inlineStr">
        <is>
          <t>Hours basis</t>
        </is>
      </c>
      <c r="B13" s="13" t="inlineStr">
        <is>
          <t>Hours are blended delivery effort (engineering, QA, BA/architecture, CS/fraud/warehouse ops design, privacy liaison). They exclude Veriff vendor fees, 3PL rate cards, and client legal counsel of record.</t>
        </is>
      </c>
      <c r="C13" s="117" t="n"/>
      <c r="D13" s="117" t="n"/>
    </row>
    <row r="14" ht="48" customHeight="1">
      <c r="A14" s="115" t="inlineStr">
        <is>
          <t>Brands</t>
        </is>
      </c>
      <c r="B14" s="15" t="inlineStr">
        <is>
          <t>Tab 2 includes a full first-brand build. 'Per additional brand' rows are unit costs. Summary sheet lets you set N brands.</t>
        </is>
      </c>
      <c r="C14" s="116" t="n"/>
      <c r="D14" s="116" t="n"/>
    </row>
    <row r="15" ht="48" customHeight="1">
      <c r="A15" s="115" t="inlineStr">
        <is>
          <t>Stack</t>
        </is>
      </c>
      <c r="B15" s="13" t="inlineStr">
        <is>
          <t>Assumes web + mobile web. Native iOS/Android Veriff SDKs are not in the base hours; declare apps in client requirements to add a delta.</t>
        </is>
      </c>
      <c r="C15" s="117" t="n"/>
      <c r="D15" s="117" t="n"/>
    </row>
    <row r="16" ht="48" customHeight="1">
      <c r="A16" s="115" t="inlineStr">
        <is>
          <t>Team</t>
        </is>
      </c>
      <c r="B16" s="15" t="inlineStr">
        <is>
          <t>Mid estimate assumes a squad that has built API/webhook integrations before, timely Veriff SE responses, and staging camera access. Max includes vendor delay, legal delay, and a legacy brand platform.</t>
        </is>
      </c>
      <c r="C16" s="116" t="n"/>
      <c r="D16" s="116" t="n"/>
    </row>
    <row r="17" ht="48" customHeight="1">
      <c r="A17" s="115" t="inlineStr">
        <is>
          <t>3-point</t>
        </is>
      </c>
      <c r="B17" s="13" t="inlineStr">
        <is>
          <t>Min = best case, clear inputs, 1 modern brand. Mid = expected. Max = delayed vendor/legal, 3+ messy brands, or IDV pulled into MVP. PERT expected = (Min + 4×Mid + Max) / 6.</t>
        </is>
      </c>
      <c r="C17" s="117" t="n"/>
      <c r="D17" s="117" t="n"/>
    </row>
    <row r="18" ht="48" customHeight="1">
      <c r="A18" s="115" t="inlineStr">
        <is>
          <t>Non-dev</t>
        </is>
      </c>
      <c r="B18" s="15" t="inlineStr">
        <is>
          <t>CS playbooks, warehouse hold SOP, communications, training, and dual-control exceptions are in the estimate because they are required to actually stop a non-winner receiving a prize.</t>
        </is>
      </c>
      <c r="C18" s="116" t="n"/>
      <c r="D18" s="116" t="n"/>
    </row>
    <row r="19" ht="48" customHeight="1">
      <c r="A19" s="115" t="inlineStr">
        <is>
          <t>Out of scope MVP</t>
        </is>
      </c>
      <c r="B19" s="13" t="inlineStr">
        <is>
          <t>Replacing existing login; full KYC for all users at registration; putting bio on every small voucher; building a new warehouse WMS; native apps unless declared.</t>
        </is>
      </c>
      <c r="C19" s="117" t="n"/>
      <c r="D19" s="117" t="n"/>
    </row>
    <row r="21">
      <c r="A21" s="22" t="inlineStr">
        <is>
          <t>Risks — how a non-winner still gets the prize</t>
        </is>
      </c>
      <c r="B21" s="2" t="n"/>
      <c r="C21" s="2" t="n"/>
      <c r="D21" s="2" t="n"/>
    </row>
    <row r="22" ht="24" customHeight="1">
      <c r="A22" s="30" t="inlineStr">
        <is>
          <t>Severity</t>
        </is>
      </c>
      <c r="B22" s="30" t="inlineStr">
        <is>
          <t>Risk</t>
        </is>
      </c>
      <c r="C22" s="30" t="inlineStr">
        <is>
          <t>How it bypasses bio</t>
        </is>
      </c>
      <c r="D22" s="30" t="inlineStr">
        <is>
          <t>Mitigation in this solution</t>
        </is>
      </c>
    </row>
    <row r="23" ht="56" customHeight="1">
      <c r="A23" s="76" t="inlineStr">
        <is>
          <t>Critical</t>
        </is>
      </c>
      <c r="B23" s="13" t="inlineStr">
        <is>
          <t>3PL ships on 'won' instead of 'bio_approved'</t>
        </is>
      </c>
      <c r="C23" s="13" t="inlineStr">
        <is>
          <t>Physical prizes leave the warehouse before the selfie. Bio becomes theatre.</t>
        </is>
      </c>
      <c r="D23" s="13" t="inlineStr">
        <is>
          <t>Contractual default-hold, packing-slip flag, dry-run UAT with 3PL.</t>
        </is>
      </c>
    </row>
    <row r="24" ht="56" customHeight="1">
      <c r="A24" s="76" t="inlineStr">
        <is>
          <t>Critical</t>
        </is>
      </c>
      <c r="B24" s="15" t="inlineStr">
        <is>
          <t>Voucher codes already in 'you won' emails</t>
        </is>
      </c>
      <c r="C24" s="15" t="inlineStr">
        <is>
          <t>High-value digital is claimed by whoever has the inbox.</t>
        </is>
      </c>
      <c r="D24" s="15" t="inlineStr">
        <is>
          <t>Change templates before flag-on; lazy-generate codes.</t>
        </is>
      </c>
    </row>
    <row r="25" ht="56" customHeight="1">
      <c r="A25" s="76" t="inlineStr">
        <is>
          <t>Critical</t>
        </is>
      </c>
      <c r="B25" s="13" t="inlineStr">
        <is>
          <t>Guest winners + selfie-only enrollment</t>
        </is>
      </c>
      <c r="C25" s="13" t="inlineStr">
        <is>
          <t>Fraudster opens the claim link, enrolls their face, and is now the 'legit' biometric user.</t>
        </is>
      </c>
      <c r="D25" s="13" t="inlineStr">
        <is>
          <t>Require registered account; consider IDV for physical; bind claim token to user_id.</t>
        </is>
      </c>
    </row>
    <row r="26" ht="56" customHeight="1">
      <c r="A26" s="118" t="inlineStr">
        <is>
          <t>High</t>
        </is>
      </c>
      <c r="B26" s="15" t="inlineStr">
        <is>
          <t>Veriff SE / dual integration not ready</t>
        </is>
      </c>
      <c r="C26" s="15" t="inlineStr">
        <is>
          <t>Entire P1 blocked; hours burn on mocks.</t>
        </is>
      </c>
      <c r="D26" s="15" t="inlineStr">
        <is>
          <t>P0 vendor checkpoint before sprinting website UX.</t>
        </is>
      </c>
    </row>
    <row r="27" ht="56" customHeight="1">
      <c r="A27" s="118" t="inlineStr">
        <is>
          <t>High</t>
        </is>
      </c>
      <c r="B27" s="13" t="inlineStr">
        <is>
          <t>Legal/DPIA delay on biometrics</t>
        </is>
      </c>
      <c r="C27" s="13" t="inlineStr">
        <is>
          <t>UX built, cannot go live in EU/other markets.</t>
        </is>
      </c>
      <c r="D27" s="13" t="inlineStr">
        <is>
          <t>Start DPIA in P0; selfie consent copy in parallel.</t>
        </is>
      </c>
    </row>
    <row r="28" ht="56" customHeight="1">
      <c r="A28" s="118" t="inlineStr">
        <is>
          <t>High</t>
        </is>
      </c>
      <c r="B28" s="15" t="inlineStr">
        <is>
          <t>Trusting frontend callback</t>
        </is>
      </c>
      <c r="C28" s="15" t="inlineStr">
        <is>
          <t>Attacker fakes 'success' query param and redeems.</t>
        </is>
      </c>
      <c r="D28" s="15" t="inlineStr">
        <is>
          <t>Server-side webhook/poll only; status API.</t>
        </is>
      </c>
    </row>
    <row r="29" ht="56" customHeight="1">
      <c r="A29" s="118" t="inlineStr">
        <is>
          <t>High</t>
        </is>
      </c>
      <c r="B29" s="13" t="inlineStr">
        <is>
          <t>Unenrolled users treated as hard fail</t>
        </is>
      </c>
      <c r="C29" s="13" t="inlineStr">
        <is>
          <t>Mass CS contacts and prize complaints; Veriff 122 declines.</t>
        </is>
      </c>
      <c r="D29" s="13" t="inlineStr">
        <is>
          <t>Pre-check enrollment; enroll-at-claim UX; exception SOP.</t>
        </is>
      </c>
    </row>
    <row r="30" ht="56" customHeight="1">
      <c r="A30" s="118" t="inlineStr">
        <is>
          <t>High</t>
        </is>
      </c>
      <c r="B30" s="15" t="inlineStr">
        <is>
          <t>Account takeover then enroll</t>
        </is>
      </c>
      <c r="C30" s="15" t="inlineStr">
        <is>
          <t>Thief passes bio because they are the enrolled face.</t>
        </is>
      </c>
      <c r="D30" s="15" t="inlineStr">
        <is>
          <t>Step-up login; optional IDV; speed-to-enroll after win; anomaly on new device.</t>
        </is>
      </c>
    </row>
    <row r="31" ht="56" customHeight="1">
      <c r="A31" s="78" t="inlineStr">
        <is>
          <t>Medium</t>
        </is>
      </c>
      <c r="B31" s="13" t="inlineStr">
        <is>
          <t>Camera / in-app browser failures</t>
        </is>
      </c>
      <c r="C31" s="13" t="inlineStr">
        <is>
          <t>Mobile-web drop-off, especially from social apps.</t>
        </is>
      </c>
      <c r="D31" s="13" t="inlineStr">
        <is>
          <t>Detect unsupported browsers; 'open in Safari/Chrome'; exception path.</t>
        </is>
      </c>
    </row>
    <row r="32" ht="56" customHeight="1">
      <c r="A32" s="78" t="inlineStr">
        <is>
          <t>Medium</t>
        </is>
      </c>
      <c r="B32" s="15" t="inlineStr">
        <is>
          <t>Bio on small vouchers</t>
        </is>
      </c>
      <c r="C32" s="15" t="inlineStr">
        <is>
          <t>Negative ROI; conversion crash.</t>
        </is>
      </c>
      <c r="D32" s="15" t="inlineStr">
        <is>
          <t>Keep Phase 1 thresholds high; finance kill-switch.</t>
        </is>
      </c>
    </row>
    <row r="33" ht="56" customHeight="1">
      <c r="A33" s="78" t="inlineStr">
        <is>
          <t>Medium</t>
        </is>
      </c>
      <c r="B33" s="13" t="inlineStr">
        <is>
          <t>Manual override without dual control</t>
        </is>
      </c>
      <c r="C33" s="13" t="inlineStr">
        <is>
          <t>CS becomes the bypass for fraud.</t>
        </is>
      </c>
      <c r="D33" s="13" t="inlineStr">
        <is>
          <t>Admin console permissions + audit.</t>
        </is>
      </c>
    </row>
    <row r="34" ht="56" customHeight="1">
      <c r="A34" s="78" t="inlineStr">
        <is>
          <t>Medium</t>
        </is>
      </c>
      <c r="B34" s="15" t="inlineStr">
        <is>
          <t>Webhook missed at peak</t>
        </is>
      </c>
      <c r="C34" s="15" t="inlineStr">
        <is>
          <t>Users stuck pending, CS volume.</t>
        </is>
      </c>
      <c r="D34" s="15" t="inlineStr">
        <is>
          <t>Poll fallback, alerts, Veriff retry, load test.</t>
        </is>
      </c>
    </row>
    <row r="35" ht="56" customHeight="1">
      <c r="A35" s="77" t="inlineStr">
        <is>
          <t>Low</t>
        </is>
      </c>
      <c r="B35" s="13" t="inlineStr">
        <is>
          <t>Name mismatch false positives (P3)</t>
        </is>
      </c>
      <c r="C35" s="13" t="inlineStr">
        <is>
          <t>Legit winners blocked on shipping.</t>
        </is>
      </c>
      <c r="D35" s="13" t="inlineStr">
        <is>
          <t>Fuzzy match + ops queue.</t>
        </is>
      </c>
    </row>
    <row r="38">
      <c r="A38" s="21" t="inlineStr">
        <is>
          <t>End-state control stack for 'only a legit winner'</t>
        </is>
      </c>
    </row>
    <row r="39" ht="48" customHeight="1">
      <c r="A39" s="119" t="inlineStr">
        <is>
          <t>Account bind + claim-time login + (IDV enrollment for physical) + biometric auth on later claims + atomic fulfill lock + 3PL/voucher default-deny + dual-control exceptions + fraud freeze on mismatch. Removing any layer re-opens a bypass. Veriff is necessary but not sufficient.</t>
        </is>
      </c>
    </row>
  </sheetData>
  <mergeCells count="21">
    <mergeCell ref="B11:D11"/>
    <mergeCell ref="B14:D14"/>
    <mergeCell ref="A4:D4"/>
    <mergeCell ref="B8:D8"/>
    <mergeCell ref="A38:D38"/>
    <mergeCell ref="B17:D17"/>
    <mergeCell ref="B13:D13"/>
    <mergeCell ref="B10:D10"/>
    <mergeCell ref="B19:D19"/>
    <mergeCell ref="A39:D39"/>
    <mergeCell ref="B9:D9"/>
    <mergeCell ref="B15:D15"/>
    <mergeCell ref="B6:D6"/>
    <mergeCell ref="A1:D1"/>
    <mergeCell ref="B5:D5"/>
    <mergeCell ref="B7:D7"/>
    <mergeCell ref="B16:D16"/>
    <mergeCell ref="A21:D21"/>
    <mergeCell ref="B18:D18"/>
    <mergeCell ref="A2:D2"/>
    <mergeCell ref="B12:D12"/>
  </mergeCells>
  <pageMargins left="0.4" right="0.4" top="0.5" bottom="0.5" header="0.5" footer="0.5"/>
  <pageSetup orientation="landscape" paperSize="9" fitToHeight="0" fitToWidth="1"/>
  <headerFooter>
    <oddHeader>&amp;LVeriff Biometric Auth — Rewards Redemption Estimation</oddHeader>
    <oddFooter>&amp;LConfidential | Solution architecture estimate | Not a statement of work&amp;RPage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2026-10-12T17:42:15Z</dcterms:created>
  <dcterms:modified xsi:type="dcterms:W3CDTF">2026-10-12T17:42:15Z</dcterms:modified>
</cp:coreProperties>
</file>